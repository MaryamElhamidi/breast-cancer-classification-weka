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Yammy/Desktop/Data Analysis/Final Project/"/>
    </mc:Choice>
  </mc:AlternateContent>
  <xr:revisionPtr revIDLastSave="0" documentId="13_ncr:1_{0B780E7B-4466-2144-9142-34D0459C9720}" xr6:coauthVersionLast="47" xr6:coauthVersionMax="47" xr10:uidLastSave="{00000000-0000-0000-0000-000000000000}"/>
  <bookViews>
    <workbookView xWindow="5960" yWindow="3160" windowWidth="27640" windowHeight="16940" activeTab="2" xr2:uid="{0B2554AC-7D53-514A-94D4-A9C29020B310}"/>
  </bookViews>
  <sheets>
    <sheet name="breast_cancer_experiment_result" sheetId="1" r:id="rId1"/>
    <sheet name="T-Test" sheetId="7" r:id="rId2"/>
    <sheet name="Graphs" sheetId="9" r:id="rId3"/>
    <sheet name="Accuracy Analysis" sheetId="2" r:id="rId4"/>
    <sheet name="Summary Statistics" sheetId="3" r:id="rId5"/>
    <sheet name="T-Dist Graph Making" sheetId="8" r:id="rId6"/>
  </sheets>
  <definedNames>
    <definedName name="_xlnm._FilterDatabase" localSheetId="0" hidden="1">breast_cancer_experiment_result!$C$1:$C$61</definedName>
    <definedName name="_xlchart.v1.0" hidden="1">'Accuracy Analysis'!$B$2:$B$31</definedName>
    <definedName name="_xlchart.v1.1" hidden="1">'Accuracy Analysis'!$C$2:$C$31</definedName>
    <definedName name="_xlchart.v1.10" hidden="1">'Accuracy Analysis'!$B$2:$B$31</definedName>
    <definedName name="_xlchart.v1.11" hidden="1">'Accuracy Analysis'!$C$2:$C$31</definedName>
    <definedName name="_xlchart.v1.12" hidden="1">'Accuracy Analysis'!$B$2:$B$31</definedName>
    <definedName name="_xlchart.v1.13" hidden="1">'Accuracy Analysis'!$C$2:$C$31</definedName>
    <definedName name="_xlchart.v1.14" hidden="1">'Accuracy Analysis'!$D$2:$D$31</definedName>
    <definedName name="_xlchart.v1.15" hidden="1">'Accuracy Analysis'!$B$2:$B$31</definedName>
    <definedName name="_xlchart.v1.16" hidden="1">'Accuracy Analysis'!$C$2:$C$31</definedName>
    <definedName name="_xlchart.v1.17" hidden="1">'Accuracy Analysis'!$B$2:$B$31</definedName>
    <definedName name="_xlchart.v1.18" hidden="1">'Accuracy Analysis'!$C$2:$C$31</definedName>
    <definedName name="_xlchart.v1.19" hidden="1">'Accuracy Analysis'!$D$2:$D$31</definedName>
    <definedName name="_xlchart.v1.2" hidden="1">'Accuracy Analysis'!$B$2:$B$31</definedName>
    <definedName name="_xlchart.v1.3" hidden="1">'Accuracy Analysis'!$C$2:$C$31</definedName>
    <definedName name="_xlchart.v1.4" hidden="1">'Accuracy Analysis'!$B$2:$B$31</definedName>
    <definedName name="_xlchart.v1.5" hidden="1">'Accuracy Analysis'!$C$2:$C$31</definedName>
    <definedName name="_xlchart.v1.6" hidden="1">'Accuracy Analysis'!$B$2:$B$31</definedName>
    <definedName name="_xlchart.v1.7" hidden="1">'Accuracy Analysis'!$C$2:$C$31</definedName>
    <definedName name="_xlchart.v1.8" hidden="1">'Accuracy Analysis'!$B$2:$B$31</definedName>
    <definedName name="_xlchart.v1.9" hidden="1">'Accuracy Analysis'!$C$2:$C$31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8" l="1"/>
  <c r="D8" i="8"/>
  <c r="B82" i="8"/>
  <c r="B81" i="8"/>
  <c r="B80" i="8"/>
  <c r="B79" i="8"/>
  <c r="B78" i="8"/>
  <c r="B77" i="8"/>
  <c r="B76" i="8"/>
  <c r="B75" i="8"/>
  <c r="B74" i="8"/>
  <c r="B73" i="8"/>
  <c r="B72" i="8"/>
  <c r="B71" i="8"/>
  <c r="B70" i="8"/>
  <c r="B69" i="8"/>
  <c r="B68" i="8"/>
  <c r="B67" i="8"/>
  <c r="B66" i="8"/>
  <c r="B65" i="8"/>
  <c r="B64" i="8"/>
  <c r="B63" i="8"/>
  <c r="B62" i="8"/>
  <c r="B50" i="8"/>
  <c r="B49" i="8"/>
  <c r="B61" i="8"/>
  <c r="B60" i="8"/>
  <c r="B59" i="8"/>
  <c r="B58" i="8"/>
  <c r="B57" i="8"/>
  <c r="B56" i="8"/>
  <c r="B55" i="8"/>
  <c r="B54" i="8"/>
  <c r="B53" i="8"/>
  <c r="B52" i="8"/>
  <c r="B51"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B2" i="8"/>
  <c r="A3" i="8"/>
  <c r="A4" i="8" s="1"/>
  <c r="A5" i="8" s="1"/>
  <c r="A6" i="8" s="1"/>
  <c r="A7" i="8" s="1"/>
  <c r="A8" i="8" s="1"/>
  <c r="A9" i="8" s="1"/>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58" i="8" s="1"/>
  <c r="A59" i="8" s="1"/>
  <c r="A60" i="8" s="1"/>
  <c r="A61" i="8" s="1"/>
  <c r="A62" i="8" s="1"/>
  <c r="A63" i="8" s="1"/>
  <c r="A64" i="8" s="1"/>
  <c r="A65" i="8" s="1"/>
  <c r="A66" i="8" s="1"/>
  <c r="A67" i="8" s="1"/>
  <c r="A68" i="8" s="1"/>
  <c r="A69" i="8" s="1"/>
  <c r="A70" i="8" s="1"/>
  <c r="A71" i="8" s="1"/>
  <c r="A72" i="8" s="1"/>
  <c r="A73" i="8" s="1"/>
  <c r="A74" i="8" s="1"/>
  <c r="A75" i="8" s="1"/>
  <c r="A76" i="8" s="1"/>
  <c r="A77" i="8" s="1"/>
  <c r="A78" i="8" s="1"/>
  <c r="A79" i="8" s="1"/>
  <c r="A80" i="8" s="1"/>
  <c r="A81" i="8" s="1"/>
  <c r="A82" i="8" s="1"/>
  <c r="C3" i="2"/>
  <c r="C4" i="2"/>
  <c r="C5" i="2"/>
  <c r="C6" i="2"/>
  <c r="D6" i="2" s="1"/>
  <c r="C7" i="2"/>
  <c r="C8" i="2"/>
  <c r="C9" i="2"/>
  <c r="C10" i="2"/>
  <c r="C11" i="2"/>
  <c r="C12" i="2"/>
  <c r="C13" i="2"/>
  <c r="C14" i="2"/>
  <c r="C15" i="2"/>
  <c r="C16" i="2"/>
  <c r="C17" i="2"/>
  <c r="C18" i="2"/>
  <c r="C19" i="2"/>
  <c r="C20" i="2"/>
  <c r="C21" i="2"/>
  <c r="D21" i="2" s="1"/>
  <c r="C22" i="2"/>
  <c r="D22" i="2" s="1"/>
  <c r="C23" i="2"/>
  <c r="C24" i="2"/>
  <c r="C25" i="2"/>
  <c r="C26" i="2"/>
  <c r="C27" i="2"/>
  <c r="C28" i="2"/>
  <c r="C29" i="2"/>
  <c r="C30" i="2"/>
  <c r="C31" i="2"/>
  <c r="C2" i="2"/>
  <c r="B31" i="2"/>
  <c r="B30" i="2"/>
  <c r="B20" i="2"/>
  <c r="B21" i="2"/>
  <c r="B22" i="2"/>
  <c r="B23" i="2"/>
  <c r="B24" i="2"/>
  <c r="D24" i="2" s="1"/>
  <c r="B25" i="2"/>
  <c r="B26" i="2"/>
  <c r="B27" i="2"/>
  <c r="B28" i="2"/>
  <c r="B29" i="2"/>
  <c r="B3" i="2"/>
  <c r="D3" i="2" s="1"/>
  <c r="B4" i="2"/>
  <c r="B5" i="2"/>
  <c r="B6" i="2"/>
  <c r="B7" i="2"/>
  <c r="B8" i="2"/>
  <c r="D8" i="2" s="1"/>
  <c r="B9" i="2"/>
  <c r="B10" i="2"/>
  <c r="B11" i="2"/>
  <c r="D11" i="2" s="1"/>
  <c r="B12" i="2"/>
  <c r="D12" i="2" s="1"/>
  <c r="B13" i="2"/>
  <c r="B14" i="2"/>
  <c r="B15" i="2"/>
  <c r="B16" i="2"/>
  <c r="D16" i="2" s="1"/>
  <c r="B17" i="2"/>
  <c r="B18" i="2"/>
  <c r="B19" i="2"/>
  <c r="B2" i="2"/>
  <c r="D19" i="2" l="1"/>
  <c r="D4" i="2"/>
  <c r="C2" i="3"/>
  <c r="D23" i="2"/>
  <c r="D15" i="2"/>
  <c r="D31" i="2"/>
  <c r="D29" i="2"/>
  <c r="D7" i="2"/>
  <c r="D27" i="2"/>
  <c r="D30" i="2"/>
  <c r="D5" i="2"/>
  <c r="D18" i="2"/>
  <c r="D10" i="2"/>
  <c r="D17" i="2"/>
  <c r="D9" i="2"/>
  <c r="D28" i="2"/>
  <c r="D20" i="2"/>
  <c r="B3" i="3"/>
  <c r="D2" i="2"/>
  <c r="C3" i="3"/>
  <c r="B2" i="3"/>
  <c r="D26" i="2"/>
  <c r="D14" i="2"/>
  <c r="D25" i="2"/>
  <c r="D13" i="2"/>
</calcChain>
</file>

<file path=xl/sharedStrings.xml><?xml version="1.0" encoding="utf-8"?>
<sst xmlns="http://schemas.openxmlformats.org/spreadsheetml/2006/main" count="428" uniqueCount="124">
  <si>
    <t>Key_Dataset</t>
  </si>
  <si>
    <t>Key_Run</t>
  </si>
  <si>
    <t>Key_Scheme</t>
  </si>
  <si>
    <t>Key_Scheme_options</t>
  </si>
  <si>
    <t>Key_Scheme_version_ID</t>
  </si>
  <si>
    <t>Date_time</t>
  </si>
  <si>
    <t>Number_of_training_instances</t>
  </si>
  <si>
    <t>Number_of_testing_instances</t>
  </si>
  <si>
    <t>Number_correct</t>
  </si>
  <si>
    <t>Number_incorrect</t>
  </si>
  <si>
    <t>Number_unclassified</t>
  </si>
  <si>
    <t>Percent_correct</t>
  </si>
  <si>
    <t>Percent_incorrect</t>
  </si>
  <si>
    <t>Percent_unclassified</t>
  </si>
  <si>
    <t>Kappa_statistic</t>
  </si>
  <si>
    <t>Mean_absolute_error</t>
  </si>
  <si>
    <t>Root_mean_squared_error</t>
  </si>
  <si>
    <t>Relative_absolute_error</t>
  </si>
  <si>
    <t>Root_relative_squared_error</t>
  </si>
  <si>
    <t>SF_prior_entropy</t>
  </si>
  <si>
    <t>SF_scheme_entropy</t>
  </si>
  <si>
    <t>SF_entropy_gain</t>
  </si>
  <si>
    <t>SF_mean_prior_entropy</t>
  </si>
  <si>
    <t>SF_mean_scheme_entropy</t>
  </si>
  <si>
    <t>SF_mean_entropy_gain</t>
  </si>
  <si>
    <t>KB_information</t>
  </si>
  <si>
    <t>KB_mean_information</t>
  </si>
  <si>
    <t>KB_relative_information</t>
  </si>
  <si>
    <t>True_positive_rate</t>
  </si>
  <si>
    <t>Num_true_positives</t>
  </si>
  <si>
    <t>False_positive_rate</t>
  </si>
  <si>
    <t>Num_false_positives</t>
  </si>
  <si>
    <t>True_negative_rate</t>
  </si>
  <si>
    <t>Num_true_negatives</t>
  </si>
  <si>
    <t>False_negative_rate</t>
  </si>
  <si>
    <t>Num_false_negatives</t>
  </si>
  <si>
    <t>IR_precision</t>
  </si>
  <si>
    <t>IR_recall</t>
  </si>
  <si>
    <t>F_measure</t>
  </si>
  <si>
    <t>Matthews_correlation</t>
  </si>
  <si>
    <t>Area_under_ROC</t>
  </si>
  <si>
    <t>Area_under_PRC</t>
  </si>
  <si>
    <t>Weighted_avg_true_positive_rate</t>
  </si>
  <si>
    <t>Weighted_avg_false_positive_rate</t>
  </si>
  <si>
    <t>Weighted_avg_true_negative_rate</t>
  </si>
  <si>
    <t>Weighted_avg_false_negative_rate</t>
  </si>
  <si>
    <t>Weighted_avg_IR_precision</t>
  </si>
  <si>
    <t>Weighted_avg_IR_recall</t>
  </si>
  <si>
    <t>Weighted_avg_F_measure</t>
  </si>
  <si>
    <t>Weighted_avg_matthews_correlation</t>
  </si>
  <si>
    <t>Weighted_avg_area_under_ROC</t>
  </si>
  <si>
    <t>Weighted_avg_area_under_PRC</t>
  </si>
  <si>
    <t>Unweighted_macro_avg_F_measure</t>
  </si>
  <si>
    <t>Unweighted_micro_avg_F_measure</t>
  </si>
  <si>
    <t>Elapsed_Time_training</t>
  </si>
  <si>
    <t>Elapsed_Time_testing</t>
  </si>
  <si>
    <t>UserCPU_Time_training</t>
  </si>
  <si>
    <t>UserCPU_Time_testing</t>
  </si>
  <si>
    <t>UserCPU_Time_millis_training</t>
  </si>
  <si>
    <t>UserCPU_Time_millis_testing</t>
  </si>
  <si>
    <t>Serialized_Model_Size</t>
  </si>
  <si>
    <t>Serialized_Train_Set_Size</t>
  </si>
  <si>
    <t>Serialized_Test_Set_Size</t>
  </si>
  <si>
    <t>Coverage_of_Test_Cases_By_Regions</t>
  </si>
  <si>
    <t>Size_of_Predicted_Regions</t>
  </si>
  <si>
    <t>Summary</t>
  </si>
  <si>
    <t>measureTreeSize</t>
  </si>
  <si>
    <t>measureNumLeaves</t>
  </si>
  <si>
    <t>measureNumRules</t>
  </si>
  <si>
    <t>breast-cancer</t>
  </si>
  <si>
    <t>weka.classifiers.trees.J48</t>
  </si>
  <si>
    <t>'-C 0.25 -M 2'</t>
  </si>
  <si>
    <t>'Number of leaves: 20\nSize of the tree: 24\n'</t>
  </si>
  <si>
    <t>'Number of leaves: 3\nSize of the tree: 4\n'</t>
  </si>
  <si>
    <t>'Number of leaves: 23\nSize of the tree: 28\n'</t>
  </si>
  <si>
    <t>'Number of leaves: 4\nSize of the tree: 6\n'</t>
  </si>
  <si>
    <t>'Number of leaves: 13\nSize of the tree: 17\n'</t>
  </si>
  <si>
    <t>'Number of leaves: 17\nSize of the tree: 21\n'</t>
  </si>
  <si>
    <t>'Number of leaves: 21\nSize of the tree: 25\n'</t>
  </si>
  <si>
    <t>'Number of leaves: 16\nSize of the tree: 20\n'</t>
  </si>
  <si>
    <t>'Number of leaves: 3\nSize of the tree: 5\n'</t>
  </si>
  <si>
    <t>'Number of leaves: 20\nSize of the tree: 25\n'</t>
  </si>
  <si>
    <t>'Number of leaves: 7\nSize of the tree: 10\n'</t>
  </si>
  <si>
    <t>'Number of leaves: 8\nSize of the tree: 13\n'</t>
  </si>
  <si>
    <t>'Number of leaves: 13\nSize of the tree: 16\n'</t>
  </si>
  <si>
    <t>'Number of leaves: 5\nSize of the tree: 8\n'</t>
  </si>
  <si>
    <t>'Number of leaves: 36\nSize of the tree: 41\n'</t>
  </si>
  <si>
    <t>'Number of leaves: 17\nSize of the tree: 20\n'</t>
  </si>
  <si>
    <t>'Number of leaves: 6\nSize of the tree: 10\n'</t>
  </si>
  <si>
    <t>'Number of leaves: 30\nSize of the tree: 36\n'</t>
  </si>
  <si>
    <t>'Number of leaves: 10\nSize of the tree: 15\n'</t>
  </si>
  <si>
    <t>'Number of leaves: 22\nSize of the tree: 27\n'</t>
  </si>
  <si>
    <t>'Number of leaves: 16\nSize of the tree: 19\n'</t>
  </si>
  <si>
    <t>weka.classifiers.functions.MultilayerPerceptron</t>
  </si>
  <si>
    <t>'-L 0.3 -M 0.2 -N 500 -V 0 -S 0 -E 20 -H a'</t>
  </si>
  <si>
    <t>?</t>
  </si>
  <si>
    <t>Key_Runs</t>
  </si>
  <si>
    <t>J_48</t>
  </si>
  <si>
    <t>MLP</t>
  </si>
  <si>
    <t>Difference</t>
  </si>
  <si>
    <t>Model</t>
  </si>
  <si>
    <t>Mean Accuracy</t>
  </si>
  <si>
    <t xml:space="preserve">J48 - Decision Tree Algorithim </t>
  </si>
  <si>
    <t>MLP - MultiLayer Perceptron</t>
  </si>
  <si>
    <t>Standard Deviation (𝑺)</t>
  </si>
  <si>
    <t>Column1</t>
  </si>
  <si>
    <t>t-Test: Paired Two Sample for Means</t>
  </si>
  <si>
    <t>Mean</t>
  </si>
  <si>
    <t>Variance</t>
  </si>
  <si>
    <t>Observations</t>
  </si>
  <si>
    <t>Pearson Correlation</t>
  </si>
  <si>
    <t>Hypothesized Mean Difference</t>
  </si>
  <si>
    <t>df</t>
  </si>
  <si>
    <t>t Stat</t>
  </si>
  <si>
    <t>P(T&lt;=t) one-tail</t>
  </si>
  <si>
    <t>t Critical one-tail</t>
  </si>
  <si>
    <t>P(T&lt;=t) two-tail</t>
  </si>
  <si>
    <t>t Critical two-tail</t>
  </si>
  <si>
    <t>J48</t>
  </si>
  <si>
    <t>T-Distribution</t>
  </si>
  <si>
    <t>PDF</t>
  </si>
  <si>
    <t>Rejection Regions</t>
  </si>
  <si>
    <t>t stat</t>
  </si>
  <si>
    <t>probability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</si>
</sst>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entury Gothic"/>
      <family val="2"/>
      <scheme val="minor"/>
    </font>
    <font>
      <sz val="12"/>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2"/>
      <color rgb="FF006100"/>
      <name val="Century Gothic"/>
      <family val="2"/>
      <scheme val="minor"/>
    </font>
    <font>
      <sz val="12"/>
      <color rgb="FF9C0006"/>
      <name val="Century Gothic"/>
      <family val="2"/>
      <scheme val="minor"/>
    </font>
    <font>
      <sz val="12"/>
      <color rgb="FF9C5700"/>
      <name val="Century Gothic"/>
      <family val="2"/>
      <scheme val="minor"/>
    </font>
    <font>
      <sz val="12"/>
      <color rgb="FF3F3F76"/>
      <name val="Century Gothic"/>
      <family val="2"/>
      <scheme val="minor"/>
    </font>
    <font>
      <b/>
      <sz val="12"/>
      <color rgb="FF3F3F3F"/>
      <name val="Century Gothic"/>
      <family val="2"/>
      <scheme val="minor"/>
    </font>
    <font>
      <b/>
      <sz val="12"/>
      <color rgb="FFFA7D00"/>
      <name val="Century Gothic"/>
      <family val="2"/>
      <scheme val="minor"/>
    </font>
    <font>
      <sz val="12"/>
      <color rgb="FFFA7D00"/>
      <name val="Century Gothic"/>
      <family val="2"/>
      <scheme val="minor"/>
    </font>
    <font>
      <b/>
      <sz val="12"/>
      <color theme="0"/>
      <name val="Century Gothic"/>
      <family val="2"/>
      <scheme val="minor"/>
    </font>
    <font>
      <sz val="12"/>
      <color rgb="FFFF0000"/>
      <name val="Century Gothic"/>
      <family val="2"/>
      <scheme val="minor"/>
    </font>
    <font>
      <i/>
      <sz val="12"/>
      <color rgb="FF7F7F7F"/>
      <name val="Century Gothic"/>
      <family val="2"/>
      <scheme val="minor"/>
    </font>
    <font>
      <b/>
      <sz val="12"/>
      <color theme="1"/>
      <name val="Century Gothic"/>
      <family val="2"/>
      <scheme val="minor"/>
    </font>
    <font>
      <sz val="12"/>
      <color theme="0"/>
      <name val="Century Gothic"/>
      <family val="2"/>
      <scheme val="minor"/>
    </font>
    <font>
      <i/>
      <sz val="12"/>
      <color theme="1"/>
      <name val="Century Gothic"/>
      <family val="2"/>
      <scheme val="minor"/>
    </font>
    <font>
      <sz val="12"/>
      <color rgb="FF002060"/>
      <name val="Century Gothic"/>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1" fontId="0" fillId="0" borderId="0" xfId="0" applyNumberFormat="1"/>
    <xf numFmtId="2" fontId="0" fillId="0" borderId="0" xfId="0" applyNumberFormat="1"/>
    <xf numFmtId="0" fontId="0" fillId="0" borderId="10" xfId="0" applyBorder="1"/>
    <xf numFmtId="0" fontId="18" fillId="0" borderId="11" xfId="0" applyFont="1" applyBorder="1" applyAlignment="1">
      <alignment horizontal="center"/>
    </xf>
    <xf numFmtId="0" fontId="0" fillId="0" borderId="0" xfId="0" applyAlignment="1">
      <alignment wrapText="1"/>
    </xf>
    <xf numFmtId="0" fontId="1" fillId="27" borderId="0" xfId="36" applyBorder="1" applyAlignment="1"/>
    <xf numFmtId="0" fontId="1" fillId="27" borderId="12" xfId="36" applyBorder="1" applyAlignment="1">
      <alignment horizontal="center"/>
    </xf>
    <xf numFmtId="0" fontId="19" fillId="33" borderId="0" xfId="36" applyFont="1" applyFill="1" applyBorder="1" applyAlignment="1"/>
    <xf numFmtId="0" fontId="1" fillId="33" borderId="0" xfId="36" applyFill="1" applyBorder="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2" formatCode="0.00"/>
    </dxf>
    <dxf>
      <numFmt numFmtId="2" formatCode="0.0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border outline="0">
        <top style="medium">
          <color indexed="64"/>
        </top>
        <bottom style="medium">
          <color indexed="64"/>
        </bottom>
      </border>
    </dxf>
    <dxf>
      <alignment horizontal="general"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strRef>
              <c:f>'T-Dist Graph Making'!$B$1</c:f>
              <c:strCache>
                <c:ptCount val="1"/>
                <c:pt idx="0">
                  <c:v>PDF</c:v>
                </c:pt>
              </c:strCache>
            </c:strRef>
          </c:tx>
          <c:spPr>
            <a:ln w="9525" cap="rnd">
              <a:solidFill>
                <a:schemeClr val="accent1"/>
              </a:solidFill>
              <a:round/>
            </a:ln>
            <a:effectLst>
              <a:outerShdw blurRad="63500" dist="38100" dir="5400000" rotWithShape="0">
                <a:srgbClr val="000000">
                  <a:alpha val="60000"/>
                </a:srgbClr>
              </a:outerShdw>
            </a:effectLst>
          </c:spPr>
          <c:marker>
            <c:symbol val="none"/>
          </c:marker>
          <c:xVal>
            <c:numRef>
              <c:f>'T-Dist Graph Making'!$A$2:$A$82</c:f>
              <c:numCache>
                <c:formatCode>General</c:formatCode>
                <c:ptCount val="81"/>
                <c:pt idx="0">
                  <c:v>-4</c:v>
                </c:pt>
                <c:pt idx="1">
                  <c:v>-3.9</c:v>
                </c:pt>
                <c:pt idx="2">
                  <c:v>-3.8</c:v>
                </c:pt>
                <c:pt idx="3">
                  <c:v>-3.6999999999999997</c:v>
                </c:pt>
                <c:pt idx="4">
                  <c:v>-3.5999999999999996</c:v>
                </c:pt>
                <c:pt idx="5">
                  <c:v>-3.4999999999999996</c:v>
                </c:pt>
                <c:pt idx="6">
                  <c:v>-3.3999999999999995</c:v>
                </c:pt>
                <c:pt idx="7">
                  <c:v>-3.2999999999999994</c:v>
                </c:pt>
                <c:pt idx="8">
                  <c:v>-3.1999999999999993</c:v>
                </c:pt>
                <c:pt idx="9">
                  <c:v>-3.0999999999999992</c:v>
                </c:pt>
                <c:pt idx="10">
                  <c:v>-2.9999999999999991</c:v>
                </c:pt>
                <c:pt idx="11">
                  <c:v>-2.899999999999999</c:v>
                </c:pt>
                <c:pt idx="12">
                  <c:v>-2.7999999999999989</c:v>
                </c:pt>
                <c:pt idx="13">
                  <c:v>-2.6999999999999988</c:v>
                </c:pt>
                <c:pt idx="14">
                  <c:v>-2.5999999999999988</c:v>
                </c:pt>
                <c:pt idx="15">
                  <c:v>-2.4999999999999987</c:v>
                </c:pt>
                <c:pt idx="16">
                  <c:v>-2.3999999999999986</c:v>
                </c:pt>
                <c:pt idx="17">
                  <c:v>-2.2999999999999985</c:v>
                </c:pt>
                <c:pt idx="18">
                  <c:v>-2.1999999999999984</c:v>
                </c:pt>
                <c:pt idx="19">
                  <c:v>-2.0999999999999983</c:v>
                </c:pt>
                <c:pt idx="20">
                  <c:v>-1.9999999999999982</c:v>
                </c:pt>
                <c:pt idx="21">
                  <c:v>-1.8999999999999981</c:v>
                </c:pt>
                <c:pt idx="22">
                  <c:v>-1.799999999999998</c:v>
                </c:pt>
                <c:pt idx="23">
                  <c:v>-1.699999999999998</c:v>
                </c:pt>
                <c:pt idx="24">
                  <c:v>-1.5999999999999979</c:v>
                </c:pt>
                <c:pt idx="25">
                  <c:v>-1.4999999999999978</c:v>
                </c:pt>
                <c:pt idx="26">
                  <c:v>-1.3999999999999977</c:v>
                </c:pt>
                <c:pt idx="27">
                  <c:v>-1.2999999999999976</c:v>
                </c:pt>
                <c:pt idx="28">
                  <c:v>-1.1999999999999975</c:v>
                </c:pt>
                <c:pt idx="29">
                  <c:v>-1.0999999999999974</c:v>
                </c:pt>
                <c:pt idx="30">
                  <c:v>-0.99999999999999745</c:v>
                </c:pt>
                <c:pt idx="31">
                  <c:v>-0.89999999999999747</c:v>
                </c:pt>
                <c:pt idx="32">
                  <c:v>-0.79999999999999749</c:v>
                </c:pt>
                <c:pt idx="33">
                  <c:v>-0.69999999999999751</c:v>
                </c:pt>
                <c:pt idx="34">
                  <c:v>-0.59999999999999754</c:v>
                </c:pt>
                <c:pt idx="35">
                  <c:v>-0.49999999999999756</c:v>
                </c:pt>
                <c:pt idx="36">
                  <c:v>-0.39999999999999758</c:v>
                </c:pt>
                <c:pt idx="37">
                  <c:v>-0.2999999999999976</c:v>
                </c:pt>
                <c:pt idx="38">
                  <c:v>-0.1999999999999976</c:v>
                </c:pt>
                <c:pt idx="39">
                  <c:v>-9.9999999999997591E-2</c:v>
                </c:pt>
                <c:pt idx="40">
                  <c:v>2.4147350785597155E-15</c:v>
                </c:pt>
                <c:pt idx="41">
                  <c:v>0.10000000000000242</c:v>
                </c:pt>
                <c:pt idx="42">
                  <c:v>0.20000000000000243</c:v>
                </c:pt>
                <c:pt idx="43">
                  <c:v>0.30000000000000243</c:v>
                </c:pt>
                <c:pt idx="44">
                  <c:v>0.40000000000000246</c:v>
                </c:pt>
                <c:pt idx="45">
                  <c:v>0.50000000000000244</c:v>
                </c:pt>
                <c:pt idx="46">
                  <c:v>0.60000000000000242</c:v>
                </c:pt>
                <c:pt idx="47">
                  <c:v>0.7000000000000024</c:v>
                </c:pt>
                <c:pt idx="48">
                  <c:v>0.80000000000000238</c:v>
                </c:pt>
                <c:pt idx="49">
                  <c:v>0.90000000000000235</c:v>
                </c:pt>
                <c:pt idx="50">
                  <c:v>1.0000000000000024</c:v>
                </c:pt>
                <c:pt idx="51">
                  <c:v>1.1000000000000025</c:v>
                </c:pt>
                <c:pt idx="52">
                  <c:v>1.2000000000000026</c:v>
                </c:pt>
                <c:pt idx="53">
                  <c:v>1.3000000000000027</c:v>
                </c:pt>
                <c:pt idx="54">
                  <c:v>1.4000000000000028</c:v>
                </c:pt>
                <c:pt idx="55">
                  <c:v>1.5000000000000029</c:v>
                </c:pt>
                <c:pt idx="56">
                  <c:v>1.600000000000003</c:v>
                </c:pt>
                <c:pt idx="57">
                  <c:v>1.7000000000000031</c:v>
                </c:pt>
                <c:pt idx="58">
                  <c:v>1.8000000000000032</c:v>
                </c:pt>
                <c:pt idx="59">
                  <c:v>1.9000000000000032</c:v>
                </c:pt>
                <c:pt idx="60">
                  <c:v>2.0000000000000031</c:v>
                </c:pt>
                <c:pt idx="61">
                  <c:v>2.1000000000000032</c:v>
                </c:pt>
                <c:pt idx="62">
                  <c:v>2.2000000000000033</c:v>
                </c:pt>
                <c:pt idx="63">
                  <c:v>2.3000000000000034</c:v>
                </c:pt>
                <c:pt idx="64">
                  <c:v>2.4000000000000035</c:v>
                </c:pt>
                <c:pt idx="65">
                  <c:v>2.5000000000000036</c:v>
                </c:pt>
                <c:pt idx="66">
                  <c:v>2.6000000000000036</c:v>
                </c:pt>
                <c:pt idx="67">
                  <c:v>2.7000000000000037</c:v>
                </c:pt>
                <c:pt idx="68">
                  <c:v>2.8000000000000038</c:v>
                </c:pt>
                <c:pt idx="69">
                  <c:v>2.9000000000000039</c:v>
                </c:pt>
                <c:pt idx="70">
                  <c:v>3.000000000000004</c:v>
                </c:pt>
                <c:pt idx="71">
                  <c:v>3.1000000000000041</c:v>
                </c:pt>
                <c:pt idx="72">
                  <c:v>3.2000000000000042</c:v>
                </c:pt>
                <c:pt idx="73">
                  <c:v>3.3000000000000043</c:v>
                </c:pt>
                <c:pt idx="74">
                  <c:v>3.4000000000000044</c:v>
                </c:pt>
                <c:pt idx="75">
                  <c:v>3.5000000000000044</c:v>
                </c:pt>
                <c:pt idx="76">
                  <c:v>3.6000000000000045</c:v>
                </c:pt>
                <c:pt idx="77">
                  <c:v>3.7000000000000046</c:v>
                </c:pt>
                <c:pt idx="78">
                  <c:v>3.8000000000000047</c:v>
                </c:pt>
                <c:pt idx="79">
                  <c:v>3.9000000000000048</c:v>
                </c:pt>
                <c:pt idx="80">
                  <c:v>4.0000000000000044</c:v>
                </c:pt>
              </c:numCache>
            </c:numRef>
          </c:xVal>
          <c:yVal>
            <c:numRef>
              <c:f>'T-Dist Graph Making'!$B$2:$B$82</c:f>
              <c:numCache>
                <c:formatCode>General</c:formatCode>
                <c:ptCount val="81"/>
                <c:pt idx="0">
                  <c:v>5.4318672875065322E-4</c:v>
                </c:pt>
                <c:pt idx="1">
                  <c:v>7.0848251031951166E-4</c:v>
                </c:pt>
                <c:pt idx="2">
                  <c:v>9.2212460099971286E-4</c:v>
                </c:pt>
                <c:pt idx="3">
                  <c:v>1.1974145614947996E-3</c:v>
                </c:pt>
                <c:pt idx="4">
                  <c:v>1.5509745247163558E-3</c:v>
                </c:pt>
                <c:pt idx="5">
                  <c:v>2.0034456439922315E-3</c:v>
                </c:pt>
                <c:pt idx="6">
                  <c:v>2.580284908962407E-3</c:v>
                </c:pt>
                <c:pt idx="7">
                  <c:v>3.3126557966298262E-3</c:v>
                </c:pt>
                <c:pt idx="8">
                  <c:v>4.2383993723684732E-3</c:v>
                </c:pt>
                <c:pt idx="9">
                  <c:v>5.4030605296445187E-3</c:v>
                </c:pt>
                <c:pt idx="10">
                  <c:v>6.8609287304041587E-3</c:v>
                </c:pt>
                <c:pt idx="11">
                  <c:v>8.6760337804661688E-3</c:v>
                </c:pt>
                <c:pt idx="12">
                  <c:v>1.0923015109172781E-2</c:v>
                </c:pt>
                <c:pt idx="13">
                  <c:v>1.3687758504011766E-2</c:v>
                </c:pt>
                <c:pt idx="14">
                  <c:v>1.7067668747563589E-2</c:v>
                </c:pt>
                <c:pt idx="15">
                  <c:v>2.1171422415414694E-2</c:v>
                </c:pt>
                <c:pt idx="16">
                  <c:v>2.6118025442988111E-2</c:v>
                </c:pt>
                <c:pt idx="17">
                  <c:v>3.2034989098410974E-2</c:v>
                </c:pt>
                <c:pt idx="18">
                  <c:v>3.90554406123374E-2</c:v>
                </c:pt>
                <c:pt idx="19">
                  <c:v>4.7314006226083609E-2</c:v>
                </c:pt>
                <c:pt idx="20">
                  <c:v>5.6941349953155959E-2</c:v>
                </c:pt>
                <c:pt idx="21">
                  <c:v>6.8057325010060593E-2</c:v>
                </c:pt>
                <c:pt idx="22">
                  <c:v>8.0762798696637703E-2</c:v>
                </c:pt>
                <c:pt idx="23">
                  <c:v>9.5130344310630111E-2</c:v>
                </c:pt>
                <c:pt idx="24">
                  <c:v>0.11119414996962615</c:v>
                </c:pt>
                <c:pt idx="25">
                  <c:v>0.1289396633757858</c:v>
                </c:pt>
                <c:pt idx="26">
                  <c:v>0.1482936576329405</c:v>
                </c:pt>
                <c:pt idx="27">
                  <c:v>0.16911554549102165</c:v>
                </c:pt>
                <c:pt idx="28">
                  <c:v>0.19119086399230026</c:v>
                </c:pt>
                <c:pt idx="29">
                  <c:v>0.21422787414264685</c:v>
                </c:pt>
                <c:pt idx="30">
                  <c:v>0.23785814985587653</c:v>
                </c:pt>
                <c:pt idx="31">
                  <c:v>0.2616418533251828</c:v>
                </c:pt>
                <c:pt idx="32">
                  <c:v>0.28507810789010768</c:v>
                </c:pt>
                <c:pt idx="33">
                  <c:v>0.30762049664657592</c:v>
                </c:pt>
                <c:pt idx="34">
                  <c:v>0.32869726359901441</c:v>
                </c:pt>
                <c:pt idx="35">
                  <c:v>0.34773531689290954</c:v>
                </c:pt>
                <c:pt idx="36">
                  <c:v>0.36418668418476957</c:v>
                </c:pt>
                <c:pt idx="37">
                  <c:v>0.3775557063545199</c:v>
                </c:pt>
                <c:pt idx="38">
                  <c:v>0.38742503133825879</c:v>
                </c:pt>
                <c:pt idx="39">
                  <c:v>0.39347842579459452</c:v>
                </c:pt>
                <c:pt idx="40">
                  <c:v>0.39551857901172804</c:v>
                </c:pt>
                <c:pt idx="41">
                  <c:v>0.39347842579459419</c:v>
                </c:pt>
                <c:pt idx="42">
                  <c:v>0.38742503133825845</c:v>
                </c:pt>
                <c:pt idx="43">
                  <c:v>0.37755570635451935</c:v>
                </c:pt>
                <c:pt idx="44">
                  <c:v>0.36418668418476885</c:v>
                </c:pt>
                <c:pt idx="45">
                  <c:v>0.3477353168929086</c:v>
                </c:pt>
                <c:pt idx="46">
                  <c:v>0.32869726359901347</c:v>
                </c:pt>
                <c:pt idx="47">
                  <c:v>0.30762049664657481</c:v>
                </c:pt>
                <c:pt idx="48">
                  <c:v>0.28507810789010657</c:v>
                </c:pt>
                <c:pt idx="49">
                  <c:v>0.26164185332518164</c:v>
                </c:pt>
                <c:pt idx="50">
                  <c:v>0.23785814985587539</c:v>
                </c:pt>
                <c:pt idx="51">
                  <c:v>0.21422787414264569</c:v>
                </c:pt>
                <c:pt idx="52">
                  <c:v>0.19119086399229904</c:v>
                </c:pt>
                <c:pt idx="53">
                  <c:v>0.16911554549102054</c:v>
                </c:pt>
                <c:pt idx="54">
                  <c:v>0.1482936576329395</c:v>
                </c:pt>
                <c:pt idx="55">
                  <c:v>0.12893966337578483</c:v>
                </c:pt>
                <c:pt idx="56">
                  <c:v>0.11119414996962532</c:v>
                </c:pt>
                <c:pt idx="57">
                  <c:v>9.513034431062932E-2</c:v>
                </c:pt>
                <c:pt idx="58">
                  <c:v>8.0762798696637023E-2</c:v>
                </c:pt>
                <c:pt idx="59">
                  <c:v>6.8057325010059982E-2</c:v>
                </c:pt>
                <c:pt idx="60">
                  <c:v>5.6941349953155466E-2</c:v>
                </c:pt>
                <c:pt idx="61">
                  <c:v>4.7314006226083165E-2</c:v>
                </c:pt>
                <c:pt idx="62">
                  <c:v>3.905544061233706E-2</c:v>
                </c:pt>
                <c:pt idx="63">
                  <c:v>3.2034989098410654E-2</c:v>
                </c:pt>
                <c:pt idx="64">
                  <c:v>2.6118025442987858E-2</c:v>
                </c:pt>
                <c:pt idx="65">
                  <c:v>2.1171422415414465E-2</c:v>
                </c:pt>
                <c:pt idx="66">
                  <c:v>1.7067668747563408E-2</c:v>
                </c:pt>
                <c:pt idx="67">
                  <c:v>1.3687758504011629E-2</c:v>
                </c:pt>
                <c:pt idx="68">
                  <c:v>1.0923015109172651E-2</c:v>
                </c:pt>
                <c:pt idx="69">
                  <c:v>8.6760337804660682E-3</c:v>
                </c:pt>
                <c:pt idx="70">
                  <c:v>6.8609287304040867E-3</c:v>
                </c:pt>
                <c:pt idx="71">
                  <c:v>5.4030605296444536E-3</c:v>
                </c:pt>
                <c:pt idx="72">
                  <c:v>4.2383993723684186E-3</c:v>
                </c:pt>
                <c:pt idx="73">
                  <c:v>3.3126557966297867E-3</c:v>
                </c:pt>
                <c:pt idx="74">
                  <c:v>2.5802849089623789E-3</c:v>
                </c:pt>
                <c:pt idx="75">
                  <c:v>2.0034456439922041E-3</c:v>
                </c:pt>
                <c:pt idx="76">
                  <c:v>1.550974524716336E-3</c:v>
                </c:pt>
                <c:pt idx="77">
                  <c:v>1.1974145614947831E-3</c:v>
                </c:pt>
                <c:pt idx="78">
                  <c:v>9.2212460099970191E-4</c:v>
                </c:pt>
                <c:pt idx="79">
                  <c:v>7.0848251031950201E-4</c:v>
                </c:pt>
                <c:pt idx="80">
                  <c:v>5.4318672875064628E-4</c:v>
                </c:pt>
              </c:numCache>
            </c:numRef>
          </c:yVal>
          <c:smooth val="1"/>
          <c:extLst>
            <c:ext xmlns:c16="http://schemas.microsoft.com/office/drawing/2014/chart" uri="{C3380CC4-5D6E-409C-BE32-E72D297353CC}">
              <c16:uniqueId val="{00000000-09B0-0B4C-92D9-DDDB294C29E7}"/>
            </c:ext>
          </c:extLst>
        </c:ser>
        <c:ser>
          <c:idx val="1"/>
          <c:order val="1"/>
          <c:tx>
            <c:v>T-stat Line</c:v>
          </c:tx>
          <c:spPr>
            <a:ln w="9525" cap="rnd">
              <a:solidFill>
                <a:schemeClr val="accent2"/>
              </a:solidFill>
              <a:prstDash val="lgDash"/>
              <a:round/>
            </a:ln>
            <a:effectLst>
              <a:outerShdw blurRad="63500" dist="38100" dir="5400000" rotWithShape="0">
                <a:srgbClr val="000000">
                  <a:alpha val="60000"/>
                </a:srgbClr>
              </a:outerShdw>
            </a:effectLst>
          </c:spPr>
          <c:marker>
            <c:symbol val="none"/>
          </c:marker>
          <c:xVal>
            <c:numRef>
              <c:f>'T-Dist Graph Making'!$F$26:$F$27</c:f>
              <c:numCache>
                <c:formatCode>General</c:formatCode>
                <c:ptCount val="2"/>
                <c:pt idx="0">
                  <c:v>5.2</c:v>
                </c:pt>
                <c:pt idx="1">
                  <c:v>5.2</c:v>
                </c:pt>
              </c:numCache>
            </c:numRef>
          </c:xVal>
          <c:yVal>
            <c:numRef>
              <c:f>'T-Dist Graph Making'!$G$26:$G$27</c:f>
              <c:numCache>
                <c:formatCode>General</c:formatCode>
                <c:ptCount val="2"/>
                <c:pt idx="0">
                  <c:v>0</c:v>
                </c:pt>
                <c:pt idx="1">
                  <c:v>0.4</c:v>
                </c:pt>
              </c:numCache>
            </c:numRef>
          </c:yVal>
          <c:smooth val="1"/>
          <c:extLst>
            <c:ext xmlns:c16="http://schemas.microsoft.com/office/drawing/2014/chart" uri="{C3380CC4-5D6E-409C-BE32-E72D297353CC}">
              <c16:uniqueId val="{00000001-09B0-0B4C-92D9-DDDB294C29E7}"/>
            </c:ext>
          </c:extLst>
        </c:ser>
        <c:ser>
          <c:idx val="2"/>
          <c:order val="2"/>
          <c:tx>
            <c:v>T-Stat 2</c:v>
          </c:tx>
          <c:spPr>
            <a:ln w="9525" cap="rnd">
              <a:solidFill>
                <a:schemeClr val="accent3"/>
              </a:solidFill>
              <a:prstDash val="dashDot"/>
              <a:round/>
            </a:ln>
            <a:effectLst>
              <a:outerShdw blurRad="63500" dist="38100" dir="5400000" rotWithShape="0">
                <a:srgbClr val="000000">
                  <a:alpha val="60000"/>
                </a:srgbClr>
              </a:outerShdw>
            </a:effectLst>
          </c:spPr>
          <c:marker>
            <c:symbol val="none"/>
          </c:marker>
          <c:dPt>
            <c:idx val="1"/>
            <c:marker>
              <c:symbol val="none"/>
            </c:marker>
            <c:bubble3D val="0"/>
            <c:spPr>
              <a:ln w="9525" cap="rnd">
                <a:solidFill>
                  <a:schemeClr val="accent2"/>
                </a:solidFill>
                <a:prstDash val="lgDash"/>
                <a:round/>
              </a:ln>
              <a:effectLst>
                <a:outerShdw blurRad="63500" dist="38100" dir="5400000" rotWithShape="0">
                  <a:srgbClr val="000000">
                    <a:alpha val="60000"/>
                  </a:srgbClr>
                </a:outerShdw>
              </a:effectLst>
            </c:spPr>
            <c:extLst>
              <c:ext xmlns:c16="http://schemas.microsoft.com/office/drawing/2014/chart" uri="{C3380CC4-5D6E-409C-BE32-E72D297353CC}">
                <c16:uniqueId val="{00000003-09B0-0B4C-92D9-DDDB294C29E7}"/>
              </c:ext>
            </c:extLst>
          </c:dPt>
          <c:xVal>
            <c:numRef>
              <c:f>'T-Dist Graph Making'!$F$29:$F$30</c:f>
              <c:numCache>
                <c:formatCode>General</c:formatCode>
                <c:ptCount val="2"/>
                <c:pt idx="0">
                  <c:v>-5.2</c:v>
                </c:pt>
                <c:pt idx="1">
                  <c:v>-5.2</c:v>
                </c:pt>
              </c:numCache>
            </c:numRef>
          </c:xVal>
          <c:yVal>
            <c:numRef>
              <c:f>'T-Dist Graph Making'!$G$29:$G$30</c:f>
              <c:numCache>
                <c:formatCode>General</c:formatCode>
                <c:ptCount val="2"/>
                <c:pt idx="0">
                  <c:v>0</c:v>
                </c:pt>
                <c:pt idx="1">
                  <c:v>0.4</c:v>
                </c:pt>
              </c:numCache>
            </c:numRef>
          </c:yVal>
          <c:smooth val="1"/>
          <c:extLst>
            <c:ext xmlns:c16="http://schemas.microsoft.com/office/drawing/2014/chart" uri="{C3380CC4-5D6E-409C-BE32-E72D297353CC}">
              <c16:uniqueId val="{00000004-09B0-0B4C-92D9-DDDB294C29E7}"/>
            </c:ext>
          </c:extLst>
        </c:ser>
        <c:ser>
          <c:idx val="3"/>
          <c:order val="3"/>
          <c:tx>
            <c:v>Critical Val 1</c:v>
          </c:tx>
          <c:spPr>
            <a:ln w="9525" cap="rnd">
              <a:solidFill>
                <a:schemeClr val="accent5"/>
              </a:solidFill>
              <a:round/>
            </a:ln>
            <a:effectLst>
              <a:outerShdw blurRad="63500" dist="38100" dir="5400000" rotWithShape="0">
                <a:srgbClr val="000000">
                  <a:alpha val="60000"/>
                </a:srgbClr>
              </a:outerShdw>
            </a:effectLst>
          </c:spPr>
          <c:marker>
            <c:symbol val="none"/>
          </c:marker>
          <c:xVal>
            <c:numRef>
              <c:f>'T-Dist Graph Making'!$I$26:$I$27</c:f>
              <c:numCache>
                <c:formatCode>General</c:formatCode>
                <c:ptCount val="2"/>
                <c:pt idx="0">
                  <c:v>2.04</c:v>
                </c:pt>
                <c:pt idx="1">
                  <c:v>2.04</c:v>
                </c:pt>
              </c:numCache>
            </c:numRef>
          </c:xVal>
          <c:yVal>
            <c:numRef>
              <c:f>'T-Dist Graph Making'!$J$26:$J$27</c:f>
              <c:numCache>
                <c:formatCode>General</c:formatCode>
                <c:ptCount val="2"/>
                <c:pt idx="0">
                  <c:v>0</c:v>
                </c:pt>
                <c:pt idx="1">
                  <c:v>0.4</c:v>
                </c:pt>
              </c:numCache>
            </c:numRef>
          </c:yVal>
          <c:smooth val="1"/>
          <c:extLst>
            <c:ext xmlns:c16="http://schemas.microsoft.com/office/drawing/2014/chart" uri="{C3380CC4-5D6E-409C-BE32-E72D297353CC}">
              <c16:uniqueId val="{00000005-09B0-0B4C-92D9-DDDB294C29E7}"/>
            </c:ext>
          </c:extLst>
        </c:ser>
        <c:ser>
          <c:idx val="4"/>
          <c:order val="4"/>
          <c:tx>
            <c:v>critical val 2</c:v>
          </c:tx>
          <c:spPr>
            <a:ln w="9525" cap="rnd">
              <a:solidFill>
                <a:schemeClr val="accent5"/>
              </a:solidFill>
              <a:round/>
            </a:ln>
            <a:effectLst>
              <a:outerShdw blurRad="63500" dist="38100" dir="5400000" rotWithShape="0">
                <a:srgbClr val="000000">
                  <a:alpha val="60000"/>
                </a:srgbClr>
              </a:outerShdw>
            </a:effectLst>
          </c:spPr>
          <c:marker>
            <c:symbol val="none"/>
          </c:marker>
          <c:xVal>
            <c:numRef>
              <c:f>'T-Dist Graph Making'!$I$29:$I$30</c:f>
              <c:numCache>
                <c:formatCode>General</c:formatCode>
                <c:ptCount val="2"/>
                <c:pt idx="0">
                  <c:v>-2.04</c:v>
                </c:pt>
                <c:pt idx="1">
                  <c:v>-2.04</c:v>
                </c:pt>
              </c:numCache>
            </c:numRef>
          </c:xVal>
          <c:yVal>
            <c:numRef>
              <c:f>'T-Dist Graph Making'!$J$29:$J$30</c:f>
              <c:numCache>
                <c:formatCode>General</c:formatCode>
                <c:ptCount val="2"/>
                <c:pt idx="0">
                  <c:v>0</c:v>
                </c:pt>
                <c:pt idx="1">
                  <c:v>0.4</c:v>
                </c:pt>
              </c:numCache>
            </c:numRef>
          </c:yVal>
          <c:smooth val="1"/>
          <c:extLst>
            <c:ext xmlns:c16="http://schemas.microsoft.com/office/drawing/2014/chart" uri="{C3380CC4-5D6E-409C-BE32-E72D297353CC}">
              <c16:uniqueId val="{00000006-09B0-0B4C-92D9-DDDB294C29E7}"/>
            </c:ext>
          </c:extLst>
        </c:ser>
        <c:dLbls>
          <c:showLegendKey val="0"/>
          <c:showVal val="0"/>
          <c:showCatName val="0"/>
          <c:showSerName val="0"/>
          <c:showPercent val="0"/>
          <c:showBubbleSize val="0"/>
        </c:dLbls>
        <c:axId val="485942127"/>
        <c:axId val="485945407"/>
      </c:scatterChart>
      <c:valAx>
        <c:axId val="485942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945407"/>
        <c:crosses val="autoZero"/>
        <c:crossBetween val="midCat"/>
      </c:valAx>
      <c:valAx>
        <c:axId val="48594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942127"/>
        <c:crossesAt val="-6"/>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strRef>
              <c:f>'T-Dist Graph Making'!$B$1</c:f>
              <c:strCache>
                <c:ptCount val="1"/>
                <c:pt idx="0">
                  <c:v>PDF</c:v>
                </c:pt>
              </c:strCache>
            </c:strRef>
          </c:tx>
          <c:spPr>
            <a:ln w="9525" cap="rnd">
              <a:solidFill>
                <a:schemeClr val="accent1"/>
              </a:solidFill>
              <a:round/>
            </a:ln>
            <a:effectLst>
              <a:outerShdw blurRad="63500" dist="38100" dir="5400000" rotWithShape="0">
                <a:srgbClr val="000000">
                  <a:alpha val="60000"/>
                </a:srgbClr>
              </a:outerShdw>
            </a:effectLst>
          </c:spPr>
          <c:marker>
            <c:symbol val="none"/>
          </c:marker>
          <c:xVal>
            <c:numRef>
              <c:f>'T-Dist Graph Making'!$A$2:$A$82</c:f>
              <c:numCache>
                <c:formatCode>General</c:formatCode>
                <c:ptCount val="81"/>
                <c:pt idx="0">
                  <c:v>-4</c:v>
                </c:pt>
                <c:pt idx="1">
                  <c:v>-3.9</c:v>
                </c:pt>
                <c:pt idx="2">
                  <c:v>-3.8</c:v>
                </c:pt>
                <c:pt idx="3">
                  <c:v>-3.6999999999999997</c:v>
                </c:pt>
                <c:pt idx="4">
                  <c:v>-3.5999999999999996</c:v>
                </c:pt>
                <c:pt idx="5">
                  <c:v>-3.4999999999999996</c:v>
                </c:pt>
                <c:pt idx="6">
                  <c:v>-3.3999999999999995</c:v>
                </c:pt>
                <c:pt idx="7">
                  <c:v>-3.2999999999999994</c:v>
                </c:pt>
                <c:pt idx="8">
                  <c:v>-3.1999999999999993</c:v>
                </c:pt>
                <c:pt idx="9">
                  <c:v>-3.0999999999999992</c:v>
                </c:pt>
                <c:pt idx="10">
                  <c:v>-2.9999999999999991</c:v>
                </c:pt>
                <c:pt idx="11">
                  <c:v>-2.899999999999999</c:v>
                </c:pt>
                <c:pt idx="12">
                  <c:v>-2.7999999999999989</c:v>
                </c:pt>
                <c:pt idx="13">
                  <c:v>-2.6999999999999988</c:v>
                </c:pt>
                <c:pt idx="14">
                  <c:v>-2.5999999999999988</c:v>
                </c:pt>
                <c:pt idx="15">
                  <c:v>-2.4999999999999987</c:v>
                </c:pt>
                <c:pt idx="16">
                  <c:v>-2.3999999999999986</c:v>
                </c:pt>
                <c:pt idx="17">
                  <c:v>-2.2999999999999985</c:v>
                </c:pt>
                <c:pt idx="18">
                  <c:v>-2.1999999999999984</c:v>
                </c:pt>
                <c:pt idx="19">
                  <c:v>-2.0999999999999983</c:v>
                </c:pt>
                <c:pt idx="20">
                  <c:v>-1.9999999999999982</c:v>
                </c:pt>
                <c:pt idx="21">
                  <c:v>-1.8999999999999981</c:v>
                </c:pt>
                <c:pt idx="22">
                  <c:v>-1.799999999999998</c:v>
                </c:pt>
                <c:pt idx="23">
                  <c:v>-1.699999999999998</c:v>
                </c:pt>
                <c:pt idx="24">
                  <c:v>-1.5999999999999979</c:v>
                </c:pt>
                <c:pt idx="25">
                  <c:v>-1.4999999999999978</c:v>
                </c:pt>
                <c:pt idx="26">
                  <c:v>-1.3999999999999977</c:v>
                </c:pt>
                <c:pt idx="27">
                  <c:v>-1.2999999999999976</c:v>
                </c:pt>
                <c:pt idx="28">
                  <c:v>-1.1999999999999975</c:v>
                </c:pt>
                <c:pt idx="29">
                  <c:v>-1.0999999999999974</c:v>
                </c:pt>
                <c:pt idx="30">
                  <c:v>-0.99999999999999745</c:v>
                </c:pt>
                <c:pt idx="31">
                  <c:v>-0.89999999999999747</c:v>
                </c:pt>
                <c:pt idx="32">
                  <c:v>-0.79999999999999749</c:v>
                </c:pt>
                <c:pt idx="33">
                  <c:v>-0.69999999999999751</c:v>
                </c:pt>
                <c:pt idx="34">
                  <c:v>-0.59999999999999754</c:v>
                </c:pt>
                <c:pt idx="35">
                  <c:v>-0.49999999999999756</c:v>
                </c:pt>
                <c:pt idx="36">
                  <c:v>-0.39999999999999758</c:v>
                </c:pt>
                <c:pt idx="37">
                  <c:v>-0.2999999999999976</c:v>
                </c:pt>
                <c:pt idx="38">
                  <c:v>-0.1999999999999976</c:v>
                </c:pt>
                <c:pt idx="39">
                  <c:v>-9.9999999999997591E-2</c:v>
                </c:pt>
                <c:pt idx="40">
                  <c:v>2.4147350785597155E-15</c:v>
                </c:pt>
                <c:pt idx="41">
                  <c:v>0.10000000000000242</c:v>
                </c:pt>
                <c:pt idx="42">
                  <c:v>0.20000000000000243</c:v>
                </c:pt>
                <c:pt idx="43">
                  <c:v>0.30000000000000243</c:v>
                </c:pt>
                <c:pt idx="44">
                  <c:v>0.40000000000000246</c:v>
                </c:pt>
                <c:pt idx="45">
                  <c:v>0.50000000000000244</c:v>
                </c:pt>
                <c:pt idx="46">
                  <c:v>0.60000000000000242</c:v>
                </c:pt>
                <c:pt idx="47">
                  <c:v>0.7000000000000024</c:v>
                </c:pt>
                <c:pt idx="48">
                  <c:v>0.80000000000000238</c:v>
                </c:pt>
                <c:pt idx="49">
                  <c:v>0.90000000000000235</c:v>
                </c:pt>
                <c:pt idx="50">
                  <c:v>1.0000000000000024</c:v>
                </c:pt>
                <c:pt idx="51">
                  <c:v>1.1000000000000025</c:v>
                </c:pt>
                <c:pt idx="52">
                  <c:v>1.2000000000000026</c:v>
                </c:pt>
                <c:pt idx="53">
                  <c:v>1.3000000000000027</c:v>
                </c:pt>
                <c:pt idx="54">
                  <c:v>1.4000000000000028</c:v>
                </c:pt>
                <c:pt idx="55">
                  <c:v>1.5000000000000029</c:v>
                </c:pt>
                <c:pt idx="56">
                  <c:v>1.600000000000003</c:v>
                </c:pt>
                <c:pt idx="57">
                  <c:v>1.7000000000000031</c:v>
                </c:pt>
                <c:pt idx="58">
                  <c:v>1.8000000000000032</c:v>
                </c:pt>
                <c:pt idx="59">
                  <c:v>1.9000000000000032</c:v>
                </c:pt>
                <c:pt idx="60">
                  <c:v>2.0000000000000031</c:v>
                </c:pt>
                <c:pt idx="61">
                  <c:v>2.1000000000000032</c:v>
                </c:pt>
                <c:pt idx="62">
                  <c:v>2.2000000000000033</c:v>
                </c:pt>
                <c:pt idx="63">
                  <c:v>2.3000000000000034</c:v>
                </c:pt>
                <c:pt idx="64">
                  <c:v>2.4000000000000035</c:v>
                </c:pt>
                <c:pt idx="65">
                  <c:v>2.5000000000000036</c:v>
                </c:pt>
                <c:pt idx="66">
                  <c:v>2.6000000000000036</c:v>
                </c:pt>
                <c:pt idx="67">
                  <c:v>2.7000000000000037</c:v>
                </c:pt>
                <c:pt idx="68">
                  <c:v>2.8000000000000038</c:v>
                </c:pt>
                <c:pt idx="69">
                  <c:v>2.9000000000000039</c:v>
                </c:pt>
                <c:pt idx="70">
                  <c:v>3.000000000000004</c:v>
                </c:pt>
                <c:pt idx="71">
                  <c:v>3.1000000000000041</c:v>
                </c:pt>
                <c:pt idx="72">
                  <c:v>3.2000000000000042</c:v>
                </c:pt>
                <c:pt idx="73">
                  <c:v>3.3000000000000043</c:v>
                </c:pt>
                <c:pt idx="74">
                  <c:v>3.4000000000000044</c:v>
                </c:pt>
                <c:pt idx="75">
                  <c:v>3.5000000000000044</c:v>
                </c:pt>
                <c:pt idx="76">
                  <c:v>3.6000000000000045</c:v>
                </c:pt>
                <c:pt idx="77">
                  <c:v>3.7000000000000046</c:v>
                </c:pt>
                <c:pt idx="78">
                  <c:v>3.8000000000000047</c:v>
                </c:pt>
                <c:pt idx="79">
                  <c:v>3.9000000000000048</c:v>
                </c:pt>
                <c:pt idx="80">
                  <c:v>4.0000000000000044</c:v>
                </c:pt>
              </c:numCache>
            </c:numRef>
          </c:xVal>
          <c:yVal>
            <c:numRef>
              <c:f>'T-Dist Graph Making'!$B$2:$B$82</c:f>
              <c:numCache>
                <c:formatCode>General</c:formatCode>
                <c:ptCount val="81"/>
                <c:pt idx="0">
                  <c:v>5.4318672875065322E-4</c:v>
                </c:pt>
                <c:pt idx="1">
                  <c:v>7.0848251031951166E-4</c:v>
                </c:pt>
                <c:pt idx="2">
                  <c:v>9.2212460099971286E-4</c:v>
                </c:pt>
                <c:pt idx="3">
                  <c:v>1.1974145614947996E-3</c:v>
                </c:pt>
                <c:pt idx="4">
                  <c:v>1.5509745247163558E-3</c:v>
                </c:pt>
                <c:pt idx="5">
                  <c:v>2.0034456439922315E-3</c:v>
                </c:pt>
                <c:pt idx="6">
                  <c:v>2.580284908962407E-3</c:v>
                </c:pt>
                <c:pt idx="7">
                  <c:v>3.3126557966298262E-3</c:v>
                </c:pt>
                <c:pt idx="8">
                  <c:v>4.2383993723684732E-3</c:v>
                </c:pt>
                <c:pt idx="9">
                  <c:v>5.4030605296445187E-3</c:v>
                </c:pt>
                <c:pt idx="10">
                  <c:v>6.8609287304041587E-3</c:v>
                </c:pt>
                <c:pt idx="11">
                  <c:v>8.6760337804661688E-3</c:v>
                </c:pt>
                <c:pt idx="12">
                  <c:v>1.0923015109172781E-2</c:v>
                </c:pt>
                <c:pt idx="13">
                  <c:v>1.3687758504011766E-2</c:v>
                </c:pt>
                <c:pt idx="14">
                  <c:v>1.7067668747563589E-2</c:v>
                </c:pt>
                <c:pt idx="15">
                  <c:v>2.1171422415414694E-2</c:v>
                </c:pt>
                <c:pt idx="16">
                  <c:v>2.6118025442988111E-2</c:v>
                </c:pt>
                <c:pt idx="17">
                  <c:v>3.2034989098410974E-2</c:v>
                </c:pt>
                <c:pt idx="18">
                  <c:v>3.90554406123374E-2</c:v>
                </c:pt>
                <c:pt idx="19">
                  <c:v>4.7314006226083609E-2</c:v>
                </c:pt>
                <c:pt idx="20">
                  <c:v>5.6941349953155959E-2</c:v>
                </c:pt>
                <c:pt idx="21">
                  <c:v>6.8057325010060593E-2</c:v>
                </c:pt>
                <c:pt idx="22">
                  <c:v>8.0762798696637703E-2</c:v>
                </c:pt>
                <c:pt idx="23">
                  <c:v>9.5130344310630111E-2</c:v>
                </c:pt>
                <c:pt idx="24">
                  <c:v>0.11119414996962615</c:v>
                </c:pt>
                <c:pt idx="25">
                  <c:v>0.1289396633757858</c:v>
                </c:pt>
                <c:pt idx="26">
                  <c:v>0.1482936576329405</c:v>
                </c:pt>
                <c:pt idx="27">
                  <c:v>0.16911554549102165</c:v>
                </c:pt>
                <c:pt idx="28">
                  <c:v>0.19119086399230026</c:v>
                </c:pt>
                <c:pt idx="29">
                  <c:v>0.21422787414264685</c:v>
                </c:pt>
                <c:pt idx="30">
                  <c:v>0.23785814985587653</c:v>
                </c:pt>
                <c:pt idx="31">
                  <c:v>0.2616418533251828</c:v>
                </c:pt>
                <c:pt idx="32">
                  <c:v>0.28507810789010768</c:v>
                </c:pt>
                <c:pt idx="33">
                  <c:v>0.30762049664657592</c:v>
                </c:pt>
                <c:pt idx="34">
                  <c:v>0.32869726359901441</c:v>
                </c:pt>
                <c:pt idx="35">
                  <c:v>0.34773531689290954</c:v>
                </c:pt>
                <c:pt idx="36">
                  <c:v>0.36418668418476957</c:v>
                </c:pt>
                <c:pt idx="37">
                  <c:v>0.3775557063545199</c:v>
                </c:pt>
                <c:pt idx="38">
                  <c:v>0.38742503133825879</c:v>
                </c:pt>
                <c:pt idx="39">
                  <c:v>0.39347842579459452</c:v>
                </c:pt>
                <c:pt idx="40">
                  <c:v>0.39551857901172804</c:v>
                </c:pt>
                <c:pt idx="41">
                  <c:v>0.39347842579459419</c:v>
                </c:pt>
                <c:pt idx="42">
                  <c:v>0.38742503133825845</c:v>
                </c:pt>
                <c:pt idx="43">
                  <c:v>0.37755570635451935</c:v>
                </c:pt>
                <c:pt idx="44">
                  <c:v>0.36418668418476885</c:v>
                </c:pt>
                <c:pt idx="45">
                  <c:v>0.3477353168929086</c:v>
                </c:pt>
                <c:pt idx="46">
                  <c:v>0.32869726359901347</c:v>
                </c:pt>
                <c:pt idx="47">
                  <c:v>0.30762049664657481</c:v>
                </c:pt>
                <c:pt idx="48">
                  <c:v>0.28507810789010657</c:v>
                </c:pt>
                <c:pt idx="49">
                  <c:v>0.26164185332518164</c:v>
                </c:pt>
                <c:pt idx="50">
                  <c:v>0.23785814985587539</c:v>
                </c:pt>
                <c:pt idx="51">
                  <c:v>0.21422787414264569</c:v>
                </c:pt>
                <c:pt idx="52">
                  <c:v>0.19119086399229904</c:v>
                </c:pt>
                <c:pt idx="53">
                  <c:v>0.16911554549102054</c:v>
                </c:pt>
                <c:pt idx="54">
                  <c:v>0.1482936576329395</c:v>
                </c:pt>
                <c:pt idx="55">
                  <c:v>0.12893966337578483</c:v>
                </c:pt>
                <c:pt idx="56">
                  <c:v>0.11119414996962532</c:v>
                </c:pt>
                <c:pt idx="57">
                  <c:v>9.513034431062932E-2</c:v>
                </c:pt>
                <c:pt idx="58">
                  <c:v>8.0762798696637023E-2</c:v>
                </c:pt>
                <c:pt idx="59">
                  <c:v>6.8057325010059982E-2</c:v>
                </c:pt>
                <c:pt idx="60">
                  <c:v>5.6941349953155466E-2</c:v>
                </c:pt>
                <c:pt idx="61">
                  <c:v>4.7314006226083165E-2</c:v>
                </c:pt>
                <c:pt idx="62">
                  <c:v>3.905544061233706E-2</c:v>
                </c:pt>
                <c:pt idx="63">
                  <c:v>3.2034989098410654E-2</c:v>
                </c:pt>
                <c:pt idx="64">
                  <c:v>2.6118025442987858E-2</c:v>
                </c:pt>
                <c:pt idx="65">
                  <c:v>2.1171422415414465E-2</c:v>
                </c:pt>
                <c:pt idx="66">
                  <c:v>1.7067668747563408E-2</c:v>
                </c:pt>
                <c:pt idx="67">
                  <c:v>1.3687758504011629E-2</c:v>
                </c:pt>
                <c:pt idx="68">
                  <c:v>1.0923015109172651E-2</c:v>
                </c:pt>
                <c:pt idx="69">
                  <c:v>8.6760337804660682E-3</c:v>
                </c:pt>
                <c:pt idx="70">
                  <c:v>6.8609287304040867E-3</c:v>
                </c:pt>
                <c:pt idx="71">
                  <c:v>5.4030605296444536E-3</c:v>
                </c:pt>
                <c:pt idx="72">
                  <c:v>4.2383993723684186E-3</c:v>
                </c:pt>
                <c:pt idx="73">
                  <c:v>3.3126557966297867E-3</c:v>
                </c:pt>
                <c:pt idx="74">
                  <c:v>2.5802849089623789E-3</c:v>
                </c:pt>
                <c:pt idx="75">
                  <c:v>2.0034456439922041E-3</c:v>
                </c:pt>
                <c:pt idx="76">
                  <c:v>1.550974524716336E-3</c:v>
                </c:pt>
                <c:pt idx="77">
                  <c:v>1.1974145614947831E-3</c:v>
                </c:pt>
                <c:pt idx="78">
                  <c:v>9.2212460099970191E-4</c:v>
                </c:pt>
                <c:pt idx="79">
                  <c:v>7.0848251031950201E-4</c:v>
                </c:pt>
                <c:pt idx="80">
                  <c:v>5.4318672875064628E-4</c:v>
                </c:pt>
              </c:numCache>
            </c:numRef>
          </c:yVal>
          <c:smooth val="1"/>
          <c:extLst>
            <c:ext xmlns:c16="http://schemas.microsoft.com/office/drawing/2014/chart" uri="{C3380CC4-5D6E-409C-BE32-E72D297353CC}">
              <c16:uniqueId val="{00000000-4B5A-C045-9E7C-E02D7F8D2083}"/>
            </c:ext>
          </c:extLst>
        </c:ser>
        <c:ser>
          <c:idx val="1"/>
          <c:order val="1"/>
          <c:tx>
            <c:v>T-stat Line</c:v>
          </c:tx>
          <c:spPr>
            <a:ln w="9525" cap="rnd">
              <a:solidFill>
                <a:schemeClr val="accent2"/>
              </a:solidFill>
              <a:prstDash val="lgDash"/>
              <a:round/>
            </a:ln>
            <a:effectLst>
              <a:outerShdw blurRad="63500" dist="38100" dir="5400000" rotWithShape="0">
                <a:srgbClr val="000000">
                  <a:alpha val="60000"/>
                </a:srgbClr>
              </a:outerShdw>
            </a:effectLst>
          </c:spPr>
          <c:marker>
            <c:symbol val="none"/>
          </c:marker>
          <c:xVal>
            <c:numRef>
              <c:f>'T-Dist Graph Making'!$F$26:$F$27</c:f>
              <c:numCache>
                <c:formatCode>General</c:formatCode>
                <c:ptCount val="2"/>
                <c:pt idx="0">
                  <c:v>5.2</c:v>
                </c:pt>
                <c:pt idx="1">
                  <c:v>5.2</c:v>
                </c:pt>
              </c:numCache>
            </c:numRef>
          </c:xVal>
          <c:yVal>
            <c:numRef>
              <c:f>'T-Dist Graph Making'!$G$26:$G$27</c:f>
              <c:numCache>
                <c:formatCode>General</c:formatCode>
                <c:ptCount val="2"/>
                <c:pt idx="0">
                  <c:v>0</c:v>
                </c:pt>
                <c:pt idx="1">
                  <c:v>0.4</c:v>
                </c:pt>
              </c:numCache>
            </c:numRef>
          </c:yVal>
          <c:smooth val="1"/>
          <c:extLst>
            <c:ext xmlns:c16="http://schemas.microsoft.com/office/drawing/2014/chart" uri="{C3380CC4-5D6E-409C-BE32-E72D297353CC}">
              <c16:uniqueId val="{00000001-4B5A-C045-9E7C-E02D7F8D2083}"/>
            </c:ext>
          </c:extLst>
        </c:ser>
        <c:ser>
          <c:idx val="2"/>
          <c:order val="2"/>
          <c:tx>
            <c:v>T-Stat 2</c:v>
          </c:tx>
          <c:spPr>
            <a:ln w="9525" cap="rnd">
              <a:solidFill>
                <a:schemeClr val="accent3"/>
              </a:solidFill>
              <a:prstDash val="dashDot"/>
              <a:round/>
            </a:ln>
            <a:effectLst>
              <a:outerShdw blurRad="63500" dist="38100" dir="5400000" rotWithShape="0">
                <a:srgbClr val="000000">
                  <a:alpha val="60000"/>
                </a:srgbClr>
              </a:outerShdw>
            </a:effectLst>
          </c:spPr>
          <c:marker>
            <c:symbol val="none"/>
          </c:marker>
          <c:dPt>
            <c:idx val="1"/>
            <c:marker>
              <c:symbol val="none"/>
            </c:marker>
            <c:bubble3D val="0"/>
            <c:spPr>
              <a:ln w="9525" cap="rnd">
                <a:solidFill>
                  <a:schemeClr val="accent2"/>
                </a:solidFill>
                <a:prstDash val="lgDash"/>
                <a:round/>
              </a:ln>
              <a:effectLst>
                <a:outerShdw blurRad="63500" dist="38100" dir="5400000" rotWithShape="0">
                  <a:srgbClr val="000000">
                    <a:alpha val="60000"/>
                  </a:srgbClr>
                </a:outerShdw>
              </a:effectLst>
            </c:spPr>
            <c:extLst>
              <c:ext xmlns:c16="http://schemas.microsoft.com/office/drawing/2014/chart" uri="{C3380CC4-5D6E-409C-BE32-E72D297353CC}">
                <c16:uniqueId val="{00000002-24CF-6146-8ABC-C0DA603B868E}"/>
              </c:ext>
            </c:extLst>
          </c:dPt>
          <c:xVal>
            <c:numRef>
              <c:f>'T-Dist Graph Making'!$F$29:$F$30</c:f>
              <c:numCache>
                <c:formatCode>General</c:formatCode>
                <c:ptCount val="2"/>
                <c:pt idx="0">
                  <c:v>-5.2</c:v>
                </c:pt>
                <c:pt idx="1">
                  <c:v>-5.2</c:v>
                </c:pt>
              </c:numCache>
            </c:numRef>
          </c:xVal>
          <c:yVal>
            <c:numRef>
              <c:f>'T-Dist Graph Making'!$G$29:$G$30</c:f>
              <c:numCache>
                <c:formatCode>General</c:formatCode>
                <c:ptCount val="2"/>
                <c:pt idx="0">
                  <c:v>0</c:v>
                </c:pt>
                <c:pt idx="1">
                  <c:v>0.4</c:v>
                </c:pt>
              </c:numCache>
            </c:numRef>
          </c:yVal>
          <c:smooth val="1"/>
          <c:extLst>
            <c:ext xmlns:c16="http://schemas.microsoft.com/office/drawing/2014/chart" uri="{C3380CC4-5D6E-409C-BE32-E72D297353CC}">
              <c16:uniqueId val="{00000008-4B5A-C045-9E7C-E02D7F8D2083}"/>
            </c:ext>
          </c:extLst>
        </c:ser>
        <c:ser>
          <c:idx val="3"/>
          <c:order val="3"/>
          <c:tx>
            <c:v>Critical Val 1</c:v>
          </c:tx>
          <c:spPr>
            <a:ln w="9525" cap="rnd">
              <a:solidFill>
                <a:schemeClr val="accent5"/>
              </a:solidFill>
              <a:round/>
            </a:ln>
            <a:effectLst>
              <a:outerShdw blurRad="63500" dist="38100" dir="5400000" rotWithShape="0">
                <a:srgbClr val="000000">
                  <a:alpha val="60000"/>
                </a:srgbClr>
              </a:outerShdw>
            </a:effectLst>
          </c:spPr>
          <c:marker>
            <c:symbol val="none"/>
          </c:marker>
          <c:xVal>
            <c:numRef>
              <c:f>'T-Dist Graph Making'!$I$26:$I$27</c:f>
              <c:numCache>
                <c:formatCode>General</c:formatCode>
                <c:ptCount val="2"/>
                <c:pt idx="0">
                  <c:v>2.04</c:v>
                </c:pt>
                <c:pt idx="1">
                  <c:v>2.04</c:v>
                </c:pt>
              </c:numCache>
            </c:numRef>
          </c:xVal>
          <c:yVal>
            <c:numRef>
              <c:f>'T-Dist Graph Making'!$J$26:$J$27</c:f>
              <c:numCache>
                <c:formatCode>General</c:formatCode>
                <c:ptCount val="2"/>
                <c:pt idx="0">
                  <c:v>0</c:v>
                </c:pt>
                <c:pt idx="1">
                  <c:v>0.4</c:v>
                </c:pt>
              </c:numCache>
            </c:numRef>
          </c:yVal>
          <c:smooth val="1"/>
          <c:extLst>
            <c:ext xmlns:c16="http://schemas.microsoft.com/office/drawing/2014/chart" uri="{C3380CC4-5D6E-409C-BE32-E72D297353CC}">
              <c16:uniqueId val="{00000000-24CF-6146-8ABC-C0DA603B868E}"/>
            </c:ext>
          </c:extLst>
        </c:ser>
        <c:ser>
          <c:idx val="4"/>
          <c:order val="4"/>
          <c:tx>
            <c:v>critical val 2</c:v>
          </c:tx>
          <c:spPr>
            <a:ln w="9525" cap="rnd">
              <a:solidFill>
                <a:schemeClr val="accent5"/>
              </a:solidFill>
              <a:round/>
            </a:ln>
            <a:effectLst>
              <a:outerShdw blurRad="63500" dist="38100" dir="5400000" rotWithShape="0">
                <a:srgbClr val="000000">
                  <a:alpha val="60000"/>
                </a:srgbClr>
              </a:outerShdw>
            </a:effectLst>
          </c:spPr>
          <c:marker>
            <c:symbol val="none"/>
          </c:marker>
          <c:xVal>
            <c:numRef>
              <c:f>'T-Dist Graph Making'!$I$29:$I$30</c:f>
              <c:numCache>
                <c:formatCode>General</c:formatCode>
                <c:ptCount val="2"/>
                <c:pt idx="0">
                  <c:v>-2.04</c:v>
                </c:pt>
                <c:pt idx="1">
                  <c:v>-2.04</c:v>
                </c:pt>
              </c:numCache>
            </c:numRef>
          </c:xVal>
          <c:yVal>
            <c:numRef>
              <c:f>'T-Dist Graph Making'!$J$29:$J$30</c:f>
              <c:numCache>
                <c:formatCode>General</c:formatCode>
                <c:ptCount val="2"/>
                <c:pt idx="0">
                  <c:v>0</c:v>
                </c:pt>
                <c:pt idx="1">
                  <c:v>0.4</c:v>
                </c:pt>
              </c:numCache>
            </c:numRef>
          </c:yVal>
          <c:smooth val="1"/>
          <c:extLst>
            <c:ext xmlns:c16="http://schemas.microsoft.com/office/drawing/2014/chart" uri="{C3380CC4-5D6E-409C-BE32-E72D297353CC}">
              <c16:uniqueId val="{00000001-24CF-6146-8ABC-C0DA603B868E}"/>
            </c:ext>
          </c:extLst>
        </c:ser>
        <c:dLbls>
          <c:showLegendKey val="0"/>
          <c:showVal val="0"/>
          <c:showCatName val="0"/>
          <c:showSerName val="0"/>
          <c:showPercent val="0"/>
          <c:showBubbleSize val="0"/>
        </c:dLbls>
        <c:axId val="485942127"/>
        <c:axId val="485945407"/>
      </c:scatterChart>
      <c:valAx>
        <c:axId val="485942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945407"/>
        <c:crosses val="autoZero"/>
        <c:crossBetween val="midCat"/>
      </c:valAx>
      <c:valAx>
        <c:axId val="48594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942127"/>
        <c:crossesAt val="-6"/>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_xlchart.v1.12</cx:f>
      </cx:numDim>
    </cx:data>
    <cx:data id="1">
      <cx:numDim type="val">
        <cx:f>_xlchart.v1.13</cx:f>
      </cx:numDim>
    </cx:data>
  </cx:chartData>
  <cx:chart>
    <cx:title pos="t" align="ctr" overlay="0">
      <cx:tx>
        <cx:rich>
          <a:bodyPr spcFirstLastPara="1" vertOverflow="ellipsis" horzOverflow="overflow" wrap="square" lIns="0" tIns="0" rIns="0" bIns="0" anchor="ctr" anchorCtr="1"/>
          <a:lstStyle/>
          <a:p>
            <a:pPr algn="ctr" rtl="0">
              <a:defRPr/>
            </a:pPr>
            <a:r>
              <a:rPr lang="en-CA"/>
              <a:t>Boxplot of Accuracy Scores for J48 and MLP</a:t>
            </a:r>
            <a:endParaRPr lang="en-US" sz="1400" b="0" i="0" u="none" strike="noStrike" baseline="0">
              <a:solidFill>
                <a:sysClr val="windowText" lastClr="000000">
                  <a:lumMod val="65000"/>
                  <a:lumOff val="35000"/>
                </a:sysClr>
              </a:solidFill>
              <a:latin typeface="Century Gothic" panose="020B0502020202020204"/>
            </a:endParaRPr>
          </a:p>
        </cx:rich>
      </cx:tx>
    </cx:title>
    <cx:plotArea>
      <cx:plotAreaRegion>
        <cx:series layoutId="boxWhisker" uniqueId="{E27A4BA3-B03C-8642-AA6D-0393E288FD8B}">
          <cx:dataId val="0"/>
          <cx:layoutPr>
            <cx:visibility meanLine="0" meanMarker="0" nonoutliers="0" outliers="1"/>
            <cx:statistics quartileMethod="exclusive"/>
          </cx:layoutPr>
        </cx:series>
        <cx:series layoutId="boxWhisker" uniqueId="{ED141521-6FBF-4F45-9792-EDA271441B7B}">
          <cx:dataId val="1"/>
          <cx:layoutPr>
            <cx:visibility meanLine="0" meanMarker="0" nonoutliers="0" outliers="1"/>
            <cx:statistics quartileMethod="exclusive"/>
          </cx:layoutPr>
        </cx:series>
      </cx:plotAreaRegion>
      <cx:axis id="0">
        <cx:catScaling gapWidth="1.10000002"/>
        <cx:tickLabels/>
      </cx:axis>
      <cx:axis id="1">
        <cx:valScaling/>
        <cx:title>
          <cx:tx>
            <cx:rich>
              <a:bodyPr spcFirstLastPara="1" vertOverflow="ellipsis" horzOverflow="overflow" wrap="square" lIns="0" tIns="0" rIns="0" bIns="0" anchor="ctr" anchorCtr="1"/>
              <a:lstStyle/>
              <a:p>
                <a:pPr algn="ctr" rtl="0">
                  <a:defRPr/>
                </a:pPr>
                <a:r>
                  <a:rPr lang="en-CA"/>
                  <a:t>Accuracy (%)</a:t>
                </a:r>
                <a:endParaRPr lang="en-US" sz="900" b="1" i="0" u="none" strike="noStrike" baseline="0">
                  <a:solidFill>
                    <a:sysClr val="windowText" lastClr="000000">
                      <a:lumMod val="65000"/>
                      <a:lumOff val="35000"/>
                    </a:sysClr>
                  </a:solidFill>
                  <a:latin typeface="Century Gothic" panose="020B0502020202020204"/>
                </a:endParaRPr>
              </a:p>
            </cx:rich>
          </cx:tx>
        </cx:title>
        <cx:majorGridlines/>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entury Gothic" panose="020B0502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_xlchart.v1.14</cx:f>
      </cx:numDim>
    </cx:data>
  </cx:chartData>
  <cx:chart>
    <cx:title pos="t" align="ctr" overlay="0">
      <cx:tx>
        <cx:rich>
          <a:bodyPr spcFirstLastPara="1" vertOverflow="ellipsis" horzOverflow="overflow" wrap="square" lIns="0" tIns="0" rIns="0" bIns="0" anchor="ctr" anchorCtr="1"/>
          <a:lstStyle/>
          <a:p>
            <a:pPr algn="ctr" rtl="0">
              <a:defRPr/>
            </a:pPr>
            <a:r>
              <a:rPr lang="en-CA"/>
              <a:t>Histogram of Accuracy Differences (J48 - MLP)</a:t>
            </a:r>
            <a:endParaRPr lang="en-US" sz="1400" b="0" i="0" u="none" strike="noStrike" baseline="0">
              <a:solidFill>
                <a:sysClr val="windowText" lastClr="000000">
                  <a:lumMod val="65000"/>
                  <a:lumOff val="35000"/>
                </a:sysClr>
              </a:solidFill>
              <a:latin typeface="Century Gothic" panose="020B0502020202020204"/>
            </a:endParaRPr>
          </a:p>
        </cx:rich>
      </cx:tx>
    </cx:title>
    <cx:plotArea>
      <cx:plotAreaRegion>
        <cx:series layoutId="clusteredColumn" uniqueId="{8E155BF7-2B68-C346-B50D-6E3CD9F21883}">
          <cx:dataLabels pos="inEnd">
            <cx:visibility seriesName="0" categoryName="0" value="1"/>
          </cx:dataLabels>
          <cx:dataId val="0"/>
          <cx:layoutPr>
            <cx:binning intervalClosed="r"/>
          </cx:layoutPr>
        </cx:series>
      </cx:plotAreaRegion>
      <cx:axis id="0">
        <cx:catScaling gapWidth="0"/>
        <cx:title>
          <cx:tx>
            <cx:rich>
              <a:bodyPr spcFirstLastPara="1" vertOverflow="ellipsis" horzOverflow="overflow" wrap="square" lIns="0" tIns="0" rIns="0" bIns="0" anchor="ctr" anchorCtr="1"/>
              <a:lstStyle/>
              <a:p>
                <a:pPr algn="ctr" rtl="0">
                  <a:defRPr/>
                </a:pPr>
                <a:r>
                  <a:rPr lang="en-CA"/>
                  <a:t>Difference in Accuracy</a:t>
                </a:r>
                <a:endParaRPr lang="en-US" sz="900" b="0" i="0" u="none" strike="noStrike" baseline="0">
                  <a:solidFill>
                    <a:sysClr val="windowText" lastClr="000000">
                      <a:lumMod val="65000"/>
                      <a:lumOff val="35000"/>
                    </a:sysClr>
                  </a:solidFill>
                  <a:latin typeface="Century Gothic" panose="020B0502020202020204"/>
                </a:endParaRPr>
              </a:p>
            </cx:rich>
          </cx:tx>
        </cx:title>
        <cx:majorTickMarks type="out"/>
        <cx:tickLabels/>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entury Gothic" panose="020B0502020202020204"/>
                </a:rPr>
                <a:t>Frequency</a:t>
              </a:r>
            </a:p>
          </cx:txPr>
        </cx:title>
        <cx:majorTickMarks type="out"/>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3</xdr:col>
      <xdr:colOff>469900</xdr:colOff>
      <xdr:row>12</xdr:row>
      <xdr:rowOff>114300</xdr:rowOff>
    </xdr:from>
    <xdr:ext cx="1257300" cy="956993"/>
    <xdr:sp macro="" textlink="">
      <xdr:nvSpPr>
        <xdr:cNvPr id="2" name="TextBox 1">
          <a:extLst>
            <a:ext uri="{FF2B5EF4-FFF2-40B4-BE49-F238E27FC236}">
              <a16:creationId xmlns:a16="http://schemas.microsoft.com/office/drawing/2014/main" id="{DD597967-4267-2562-41BE-0839046E4153}"/>
            </a:ext>
          </a:extLst>
        </xdr:cNvPr>
        <xdr:cNvSpPr txBox="1"/>
      </xdr:nvSpPr>
      <xdr:spPr>
        <a:xfrm>
          <a:off x="5232400" y="2565400"/>
          <a:ext cx="1257300" cy="956993"/>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P - Value is 0.00001 and is less than the signficance level (0.05).</a:t>
          </a:r>
        </a:p>
      </xdr:txBody>
    </xdr:sp>
    <xdr:clientData/>
  </xdr:oneCellAnchor>
  <xdr:oneCellAnchor>
    <xdr:from>
      <xdr:col>5</xdr:col>
      <xdr:colOff>1</xdr:colOff>
      <xdr:row>11</xdr:row>
      <xdr:rowOff>139700</xdr:rowOff>
    </xdr:from>
    <xdr:ext cx="1346200" cy="1302857"/>
    <xdr:sp macro="" textlink="">
      <xdr:nvSpPr>
        <xdr:cNvPr id="3" name="TextBox 2">
          <a:extLst>
            <a:ext uri="{FF2B5EF4-FFF2-40B4-BE49-F238E27FC236}">
              <a16:creationId xmlns:a16="http://schemas.microsoft.com/office/drawing/2014/main" id="{BABE43BD-EDD9-7D47-91BD-0926AB90322F}"/>
            </a:ext>
          </a:extLst>
        </xdr:cNvPr>
        <xdr:cNvSpPr txBox="1"/>
      </xdr:nvSpPr>
      <xdr:spPr>
        <a:xfrm>
          <a:off x="7188201" y="2387600"/>
          <a:ext cx="1346200" cy="1302857"/>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Since p &lt; 0.05, we reject the null hypothesis and conclude that J48 significantly outperforms MLP.</a:t>
          </a:r>
        </a:p>
      </xdr:txBody>
    </xdr:sp>
    <xdr:clientData/>
  </xdr:oneCellAnchor>
  <xdr:twoCellAnchor>
    <xdr:from>
      <xdr:col>4</xdr:col>
      <xdr:colOff>254000</xdr:colOff>
      <xdr:row>14</xdr:row>
      <xdr:rowOff>168829</xdr:rowOff>
    </xdr:from>
    <xdr:to>
      <xdr:col>5</xdr:col>
      <xdr:colOff>1</xdr:colOff>
      <xdr:row>14</xdr:row>
      <xdr:rowOff>173697</xdr:rowOff>
    </xdr:to>
    <xdr:cxnSp macro="">
      <xdr:nvCxnSpPr>
        <xdr:cNvPr id="5" name="Straight Arrow Connector 4">
          <a:extLst>
            <a:ext uri="{FF2B5EF4-FFF2-40B4-BE49-F238E27FC236}">
              <a16:creationId xmlns:a16="http://schemas.microsoft.com/office/drawing/2014/main" id="{4381281E-9E50-A472-35EA-60B3D9552319}"/>
            </a:ext>
          </a:extLst>
        </xdr:cNvPr>
        <xdr:cNvCxnSpPr>
          <a:stCxn id="2" idx="3"/>
          <a:endCxn id="3" idx="1"/>
        </xdr:cNvCxnSpPr>
      </xdr:nvCxnSpPr>
      <xdr:spPr>
        <a:xfrm flipV="1">
          <a:off x="6489700" y="3039029"/>
          <a:ext cx="698501" cy="48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254000</xdr:colOff>
      <xdr:row>2</xdr:row>
      <xdr:rowOff>76200</xdr:rowOff>
    </xdr:from>
    <xdr:ext cx="5762540" cy="1476751"/>
    <xdr:sp macro="" textlink="">
      <xdr:nvSpPr>
        <xdr:cNvPr id="8" name="TextBox 7">
          <a:extLst>
            <a:ext uri="{FF2B5EF4-FFF2-40B4-BE49-F238E27FC236}">
              <a16:creationId xmlns:a16="http://schemas.microsoft.com/office/drawing/2014/main" id="{3485D710-9D7C-4DC0-F9E4-714F7FEE23D5}"/>
            </a:ext>
          </a:extLst>
        </xdr:cNvPr>
        <xdr:cNvSpPr txBox="1"/>
      </xdr:nvSpPr>
      <xdr:spPr>
        <a:xfrm>
          <a:off x="5016500" y="495300"/>
          <a:ext cx="5762540" cy="1476751"/>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H0: </a:t>
          </a:r>
          <a:r>
            <a:rPr lang="el-GR" sz="1100"/>
            <a:t>μ(</a:t>
          </a:r>
          <a:r>
            <a:rPr lang="en-US" sz="1100"/>
            <a:t>J48 − MLP) = 0</a:t>
          </a:r>
        </a:p>
        <a:p>
          <a:r>
            <a:rPr lang="en-US" sz="1100"/>
            <a:t>    → No significant difference in accuracy</a:t>
          </a:r>
        </a:p>
        <a:p>
          <a:endParaRPr lang="en-US" sz="1100"/>
        </a:p>
        <a:p>
          <a:r>
            <a:rPr lang="en-US" sz="1100"/>
            <a:t>H1: </a:t>
          </a:r>
          <a:r>
            <a:rPr lang="el-GR" sz="1100"/>
            <a:t>μ(</a:t>
          </a:r>
          <a:r>
            <a:rPr lang="en-US" sz="1100"/>
            <a:t>J48 − MLP) ≠ 0</a:t>
          </a:r>
        </a:p>
        <a:p>
          <a:r>
            <a:rPr lang="en-US" sz="1100"/>
            <a:t>    → Significant difference in accuracy exists</a:t>
          </a:r>
        </a:p>
        <a:p>
          <a:endParaRPr lang="en-US" sz="1100"/>
        </a:p>
        <a:p>
          <a:r>
            <a:rPr lang="en-US" sz="1100"/>
            <a:t>Result: p-value &lt; 0.05 → Reject H₀ → J48 performs significantly differently than MLP</a:t>
          </a:r>
        </a:p>
        <a:p>
          <a:endParaRPr lang="en-US" sz="1100"/>
        </a:p>
      </xdr:txBody>
    </xdr:sp>
    <xdr:clientData/>
  </xdr:oneCellAnchor>
  <xdr:twoCellAnchor>
    <xdr:from>
      <xdr:col>6</xdr:col>
      <xdr:colOff>393701</xdr:colOff>
      <xdr:row>6</xdr:row>
      <xdr:rowOff>1776</xdr:rowOff>
    </xdr:from>
    <xdr:to>
      <xdr:col>8</xdr:col>
      <xdr:colOff>733340</xdr:colOff>
      <xdr:row>14</xdr:row>
      <xdr:rowOff>168829</xdr:rowOff>
    </xdr:to>
    <xdr:cxnSp macro="">
      <xdr:nvCxnSpPr>
        <xdr:cNvPr id="12" name="Elbow Connector 11">
          <a:extLst>
            <a:ext uri="{FF2B5EF4-FFF2-40B4-BE49-F238E27FC236}">
              <a16:creationId xmlns:a16="http://schemas.microsoft.com/office/drawing/2014/main" id="{A57D5DBC-517A-E179-D50A-9F291DE46B8E}"/>
            </a:ext>
          </a:extLst>
        </xdr:cNvPr>
        <xdr:cNvCxnSpPr>
          <a:stCxn id="3" idx="3"/>
          <a:endCxn id="8" idx="3"/>
        </xdr:cNvCxnSpPr>
      </xdr:nvCxnSpPr>
      <xdr:spPr>
        <a:xfrm flipV="1">
          <a:off x="8534401" y="1233676"/>
          <a:ext cx="2244639" cy="1805353"/>
        </a:xfrm>
        <a:prstGeom prst="bentConnector3">
          <a:avLst>
            <a:gd name="adj1" fmla="val 110184"/>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1282700</xdr:colOff>
      <xdr:row>21</xdr:row>
      <xdr:rowOff>114301</xdr:rowOff>
    </xdr:from>
    <xdr:ext cx="6427245" cy="3032177"/>
    <xdr:sp macro="" textlink="">
      <xdr:nvSpPr>
        <xdr:cNvPr id="18" name="TextBox 17">
          <a:extLst>
            <a:ext uri="{FF2B5EF4-FFF2-40B4-BE49-F238E27FC236}">
              <a16:creationId xmlns:a16="http://schemas.microsoft.com/office/drawing/2014/main" id="{F1A31F97-4EDE-A070-74BE-D895BEA0C171}"/>
            </a:ext>
          </a:extLst>
        </xdr:cNvPr>
        <xdr:cNvSpPr txBox="1"/>
      </xdr:nvSpPr>
      <xdr:spPr>
        <a:xfrm>
          <a:off x="6045200" y="4406901"/>
          <a:ext cx="6427245" cy="3032177"/>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a:t>The t-distribution graph on the left visualizes the results of a paired t-test comparing the accuracy of the Decision Tree (J48) and Neural Network (MLP) models. </a:t>
          </a:r>
        </a:p>
        <a:p>
          <a:endParaRPr lang="en-CA"/>
        </a:p>
        <a:p>
          <a:r>
            <a:rPr lang="en-CA"/>
            <a:t>The calculated </a:t>
          </a:r>
          <a:r>
            <a:rPr lang="en-CA" b="1"/>
            <a:t>t-statistic is approximately 5.20</a:t>
          </a:r>
          <a:r>
            <a:rPr lang="en-CA"/>
            <a:t>, which reflects the standardized difference in performance between the two models over 30 paired trials. The </a:t>
          </a:r>
          <a:r>
            <a:rPr lang="en-CA" b="1"/>
            <a:t>p-value associated with this t-statistic is approximately 0.000014</a:t>
          </a:r>
          <a:r>
            <a:rPr lang="en-CA"/>
            <a:t>, which is significantly below alpha, 0.05.</a:t>
          </a:r>
        </a:p>
        <a:p>
          <a:endParaRPr lang="en-CA"/>
        </a:p>
        <a:p>
          <a:r>
            <a:rPr lang="en-CA"/>
            <a:t>The vertical </a:t>
          </a:r>
          <a:r>
            <a:rPr lang="en-CA" b="1"/>
            <a:t>red lines at ± 2.045</a:t>
          </a:r>
          <a:r>
            <a:rPr lang="en-CA"/>
            <a:t> represent the </a:t>
          </a:r>
          <a:r>
            <a:rPr lang="en-CA" b="1"/>
            <a:t>critical t-values</a:t>
          </a:r>
          <a:r>
            <a:rPr lang="en-CA"/>
            <a:t> for a two-tailed t-test with </a:t>
          </a:r>
          <a:r>
            <a:rPr lang="en-CA" b="1"/>
            <a:t>29 degrees of freedom</a:t>
          </a:r>
          <a:r>
            <a:rPr lang="en-CA"/>
            <a:t> at a 95% confidence level (</a:t>
          </a:r>
          <a:r>
            <a:rPr lang="el-GR"/>
            <a:t>α = 0.05). </a:t>
          </a:r>
          <a:r>
            <a:rPr lang="en-CA"/>
            <a:t>The </a:t>
          </a:r>
          <a:r>
            <a:rPr lang="en-CA" b="1"/>
            <a:t>purple dashed lines</a:t>
          </a:r>
          <a:r>
            <a:rPr lang="en-CA"/>
            <a:t> mark the observed t-statistic, showing it falls within the </a:t>
          </a:r>
          <a:r>
            <a:rPr lang="en-CA" b="1"/>
            <a:t>rejection regions</a:t>
          </a:r>
          <a:r>
            <a:rPr lang="en-CA" b="0" baseline="0"/>
            <a:t> -- </a:t>
          </a:r>
          <a:r>
            <a:rPr lang="en-CA"/>
            <a:t>the areas beyond the critical values where we reject the null hypothesis.</a:t>
          </a:r>
        </a:p>
        <a:p>
          <a:endParaRPr lang="en-CA"/>
        </a:p>
        <a:p>
          <a:r>
            <a:rPr lang="en-CA"/>
            <a:t>Because our </a:t>
          </a:r>
          <a:r>
            <a:rPr lang="en-CA" b="1"/>
            <a:t>t-statistic (5.20)</a:t>
          </a:r>
          <a:r>
            <a:rPr lang="en-CA"/>
            <a:t> lies beyond the </a:t>
          </a:r>
          <a:r>
            <a:rPr lang="en-CA" b="1"/>
            <a:t>critical value</a:t>
          </a:r>
          <a:r>
            <a:rPr lang="en-CA" b="1" baseline="0"/>
            <a:t> </a:t>
          </a:r>
          <a:r>
            <a:rPr lang="en-CA"/>
            <a:t>, and our </a:t>
          </a:r>
          <a:r>
            <a:rPr lang="en-CA" b="1"/>
            <a:t>p-value (&lt; 0.05)</a:t>
          </a:r>
          <a:r>
            <a:rPr lang="en-CA"/>
            <a:t> confirms this result, we have strong statistical evidence to </a:t>
          </a:r>
          <a:r>
            <a:rPr lang="en-CA" b="1"/>
            <a:t>reject the null hypothesis</a:t>
          </a:r>
          <a:r>
            <a:rPr lang="en-CA"/>
            <a:t>. This means there is a </a:t>
          </a:r>
          <a:r>
            <a:rPr lang="en-CA" b="1"/>
            <a:t>significant difference in the mean accuracy</a:t>
          </a:r>
          <a:r>
            <a:rPr lang="en-CA"/>
            <a:t> between the two models, with J48 outperforming MLP in this dataset.</a:t>
          </a:r>
        </a:p>
        <a:p>
          <a:endParaRPr lang="en-US" sz="1100"/>
        </a:p>
      </xdr:txBody>
    </xdr:sp>
    <xdr:clientData/>
  </xdr:oneCellAnchor>
  <xdr:twoCellAnchor>
    <xdr:from>
      <xdr:col>0</xdr:col>
      <xdr:colOff>376296</xdr:colOff>
      <xdr:row>18</xdr:row>
      <xdr:rowOff>178741</xdr:rowOff>
    </xdr:from>
    <xdr:to>
      <xdr:col>3</xdr:col>
      <xdr:colOff>908252</xdr:colOff>
      <xdr:row>32</xdr:row>
      <xdr:rowOff>18587</xdr:rowOff>
    </xdr:to>
    <xdr:graphicFrame macro="">
      <xdr:nvGraphicFramePr>
        <xdr:cNvPr id="13" name="Chart 12">
          <a:extLst>
            <a:ext uri="{FF2B5EF4-FFF2-40B4-BE49-F238E27FC236}">
              <a16:creationId xmlns:a16="http://schemas.microsoft.com/office/drawing/2014/main" id="{80718C91-B539-8C4A-9ED0-606EBA071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300187</xdr:colOff>
      <xdr:row>22</xdr:row>
      <xdr:rowOff>67436</xdr:rowOff>
    </xdr:from>
    <xdr:to>
      <xdr:col>3</xdr:col>
      <xdr:colOff>382122</xdr:colOff>
      <xdr:row>23</xdr:row>
      <xdr:rowOff>174559</xdr:rowOff>
    </xdr:to>
    <xdr:sp macro="" textlink="">
      <xdr:nvSpPr>
        <xdr:cNvPr id="14" name="Left Brace 13">
          <a:extLst>
            <a:ext uri="{FF2B5EF4-FFF2-40B4-BE49-F238E27FC236}">
              <a16:creationId xmlns:a16="http://schemas.microsoft.com/office/drawing/2014/main" id="{8FA751F2-5677-5040-BDF3-4726BF85FA63}"/>
            </a:ext>
          </a:extLst>
        </xdr:cNvPr>
        <xdr:cNvSpPr/>
      </xdr:nvSpPr>
      <xdr:spPr>
        <a:xfrm rot="5400000">
          <a:off x="4469186" y="4271030"/>
          <a:ext cx="314086" cy="1032083"/>
        </a:xfrm>
        <a:prstGeom prst="leftBrace">
          <a:avLst/>
        </a:prstGeom>
        <a:ln>
          <a:solidFill>
            <a:schemeClr val="accent5">
              <a:lumMod val="50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oneCellAnchor>
    <xdr:from>
      <xdr:col>2</xdr:col>
      <xdr:colOff>328410</xdr:colOff>
      <xdr:row>21</xdr:row>
      <xdr:rowOff>17965</xdr:rowOff>
    </xdr:from>
    <xdr:ext cx="1029256" cy="218073"/>
    <xdr:sp macro="" textlink="">
      <xdr:nvSpPr>
        <xdr:cNvPr id="15" name="TextBox 14">
          <a:extLst>
            <a:ext uri="{FF2B5EF4-FFF2-40B4-BE49-F238E27FC236}">
              <a16:creationId xmlns:a16="http://schemas.microsoft.com/office/drawing/2014/main" id="{8CEEE0E8-FD36-9847-9CBB-998E80382E93}"/>
            </a:ext>
          </a:extLst>
        </xdr:cNvPr>
        <xdr:cNvSpPr txBox="1"/>
      </xdr:nvSpPr>
      <xdr:spPr>
        <a:xfrm>
          <a:off x="4138410" y="4364187"/>
          <a:ext cx="1029256" cy="218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a:t>Rejection</a:t>
          </a:r>
          <a:r>
            <a:rPr lang="en-US" sz="800" baseline="0"/>
            <a:t> Region</a:t>
          </a:r>
          <a:endParaRPr lang="en-US" sz="800"/>
        </a:p>
      </xdr:txBody>
    </xdr:sp>
    <xdr:clientData/>
  </xdr:oneCellAnchor>
  <xdr:twoCellAnchor>
    <xdr:from>
      <xdr:col>0</xdr:col>
      <xdr:colOff>1186364</xdr:colOff>
      <xdr:row>22</xdr:row>
      <xdr:rowOff>50503</xdr:rowOff>
    </xdr:from>
    <xdr:to>
      <xdr:col>0</xdr:col>
      <xdr:colOff>2218447</xdr:colOff>
      <xdr:row>23</xdr:row>
      <xdr:rowOff>157626</xdr:rowOff>
    </xdr:to>
    <xdr:sp macro="" textlink="">
      <xdr:nvSpPr>
        <xdr:cNvPr id="16" name="Left Brace 15">
          <a:extLst>
            <a:ext uri="{FF2B5EF4-FFF2-40B4-BE49-F238E27FC236}">
              <a16:creationId xmlns:a16="http://schemas.microsoft.com/office/drawing/2014/main" id="{744C863A-8FBF-2045-86B2-3C1DA70D1F1E}"/>
            </a:ext>
          </a:extLst>
        </xdr:cNvPr>
        <xdr:cNvSpPr/>
      </xdr:nvSpPr>
      <xdr:spPr>
        <a:xfrm rot="5400000">
          <a:off x="1545363" y="4254097"/>
          <a:ext cx="314086" cy="1032083"/>
        </a:xfrm>
        <a:prstGeom prst="leftBrace">
          <a:avLst/>
        </a:prstGeom>
        <a:ln>
          <a:solidFill>
            <a:schemeClr val="accent5">
              <a:lumMod val="50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oneCellAnchor>
    <xdr:from>
      <xdr:col>0</xdr:col>
      <xdr:colOff>1214588</xdr:colOff>
      <xdr:row>21</xdr:row>
      <xdr:rowOff>29254</xdr:rowOff>
    </xdr:from>
    <xdr:ext cx="1029256" cy="218073"/>
    <xdr:sp macro="" textlink="">
      <xdr:nvSpPr>
        <xdr:cNvPr id="19" name="TextBox 18">
          <a:extLst>
            <a:ext uri="{FF2B5EF4-FFF2-40B4-BE49-F238E27FC236}">
              <a16:creationId xmlns:a16="http://schemas.microsoft.com/office/drawing/2014/main" id="{30FAE656-0BD2-674E-A088-D36342DF9D2A}"/>
            </a:ext>
          </a:extLst>
        </xdr:cNvPr>
        <xdr:cNvSpPr txBox="1"/>
      </xdr:nvSpPr>
      <xdr:spPr>
        <a:xfrm>
          <a:off x="1214588" y="4375476"/>
          <a:ext cx="1029256" cy="218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a:t>Rejection</a:t>
          </a:r>
          <a:r>
            <a:rPr lang="en-US" sz="800" baseline="0"/>
            <a:t> Region</a:t>
          </a:r>
          <a:endParaRPr lang="en-US" sz="800"/>
        </a:p>
      </xdr:txBody>
    </xdr:sp>
    <xdr:clientData/>
  </xdr:oneCellAnchor>
</xdr:wsDr>
</file>

<file path=xl/drawings/drawing2.xml><?xml version="1.0" encoding="utf-8"?>
<c:userShapes xmlns:c="http://schemas.openxmlformats.org/drawingml/2006/chart">
  <cdr:relSizeAnchor xmlns:cdr="http://schemas.openxmlformats.org/drawingml/2006/chartDrawing">
    <cdr:from>
      <cdr:x>0.32486</cdr:x>
      <cdr:y>0.34063</cdr:y>
    </cdr:from>
    <cdr:to>
      <cdr:x>0.37477</cdr:x>
      <cdr:y>0.7529</cdr:y>
    </cdr:to>
    <cdr:sp macro="" textlink="">
      <cdr:nvSpPr>
        <cdr:cNvPr id="9" name="TextBox 14">
          <a:extLst xmlns:a="http://schemas.openxmlformats.org/drawingml/2006/main">
            <a:ext uri="{FF2B5EF4-FFF2-40B4-BE49-F238E27FC236}">
              <a16:creationId xmlns:a16="http://schemas.microsoft.com/office/drawing/2014/main" id="{DA02E7F2-D8BC-F8F5-29C3-1ABB61EC29BC}"/>
            </a:ext>
          </a:extLst>
        </cdr:cNvPr>
        <cdr:cNvSpPr txBox="1"/>
      </cdr:nvSpPr>
      <cdr:spPr>
        <a:xfrm xmlns:a="http://schemas.openxmlformats.org/drawingml/2006/main" rot="16200000">
          <a:off x="1297843" y="1365943"/>
          <a:ext cx="1130158" cy="265791"/>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a:t>Critical Value </a:t>
          </a:r>
        </a:p>
      </cdr:txBody>
    </cdr:sp>
  </cdr:relSizeAnchor>
  <cdr:relSizeAnchor xmlns:cdr="http://schemas.openxmlformats.org/drawingml/2006/chartDrawing">
    <cdr:from>
      <cdr:x>0.67076</cdr:x>
      <cdr:y>0.34775</cdr:y>
    </cdr:from>
    <cdr:to>
      <cdr:x>0.72068</cdr:x>
      <cdr:y>0.76002</cdr:y>
    </cdr:to>
    <cdr:sp macro="" textlink="">
      <cdr:nvSpPr>
        <cdr:cNvPr id="10" name="TextBox 14">
          <a:extLst xmlns:a="http://schemas.openxmlformats.org/drawingml/2006/main">
            <a:ext uri="{FF2B5EF4-FFF2-40B4-BE49-F238E27FC236}">
              <a16:creationId xmlns:a16="http://schemas.microsoft.com/office/drawing/2014/main" id="{DA02E7F2-D8BC-F8F5-29C3-1ABB61EC29BC}"/>
            </a:ext>
          </a:extLst>
        </cdr:cNvPr>
        <cdr:cNvSpPr txBox="1"/>
      </cdr:nvSpPr>
      <cdr:spPr>
        <a:xfrm xmlns:a="http://schemas.openxmlformats.org/drawingml/2006/main" rot="5400000">
          <a:off x="3139916" y="1385433"/>
          <a:ext cx="1130158" cy="26584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a:t>Critical Value </a:t>
          </a:r>
        </a:p>
      </cdr:txBody>
    </cdr:sp>
  </cdr:relSizeAnchor>
  <cdr:relSizeAnchor xmlns:cdr="http://schemas.openxmlformats.org/drawingml/2006/chartDrawing">
    <cdr:from>
      <cdr:x>0.09236</cdr:x>
      <cdr:y>0.67675</cdr:y>
    </cdr:from>
    <cdr:to>
      <cdr:x>0.14227</cdr:x>
      <cdr:y>0.87135</cdr:y>
    </cdr:to>
    <cdr:sp macro="" textlink="">
      <cdr:nvSpPr>
        <cdr:cNvPr id="11" name="TextBox 14">
          <a:extLst xmlns:a="http://schemas.openxmlformats.org/drawingml/2006/main">
            <a:ext uri="{FF2B5EF4-FFF2-40B4-BE49-F238E27FC236}">
              <a16:creationId xmlns:a16="http://schemas.microsoft.com/office/drawing/2014/main" id="{DA02E7F2-D8BC-F8F5-29C3-1ABB61EC29BC}"/>
            </a:ext>
          </a:extLst>
        </cdr:cNvPr>
        <cdr:cNvSpPr txBox="1"/>
      </cdr:nvSpPr>
      <cdr:spPr>
        <a:xfrm xmlns:a="http://schemas.openxmlformats.org/drawingml/2006/main" rot="16200000">
          <a:off x="358001" y="1989020"/>
          <a:ext cx="533458" cy="26579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a:t>P-Val</a:t>
          </a:r>
        </a:p>
      </cdr:txBody>
    </cdr:sp>
  </cdr:relSizeAnchor>
  <cdr:relSizeAnchor xmlns:cdr="http://schemas.openxmlformats.org/drawingml/2006/chartDrawing">
    <cdr:from>
      <cdr:x>0.90168</cdr:x>
      <cdr:y>0.66815</cdr:y>
    </cdr:from>
    <cdr:to>
      <cdr:x>0.9516</cdr:x>
      <cdr:y>0.86275</cdr:y>
    </cdr:to>
    <cdr:sp macro="" textlink="">
      <cdr:nvSpPr>
        <cdr:cNvPr id="12" name="TextBox 14">
          <a:extLst xmlns:a="http://schemas.openxmlformats.org/drawingml/2006/main">
            <a:ext uri="{FF2B5EF4-FFF2-40B4-BE49-F238E27FC236}">
              <a16:creationId xmlns:a16="http://schemas.microsoft.com/office/drawing/2014/main" id="{6427E19D-64FD-C0BB-6C2A-2DF575821D77}"/>
            </a:ext>
          </a:extLst>
        </cdr:cNvPr>
        <cdr:cNvSpPr txBox="1"/>
      </cdr:nvSpPr>
      <cdr:spPr>
        <a:xfrm xmlns:a="http://schemas.openxmlformats.org/drawingml/2006/main" rot="5400000">
          <a:off x="4654935" y="1985981"/>
          <a:ext cx="538609" cy="26526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a:t>P-Val</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444500</xdr:colOff>
      <xdr:row>5</xdr:row>
      <xdr:rowOff>190500</xdr:rowOff>
    </xdr:from>
    <xdr:to>
      <xdr:col>6</xdr:col>
      <xdr:colOff>57150</xdr:colOff>
      <xdr:row>25</xdr:row>
      <xdr:rowOff>76200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BFCB683-AFC2-5D43-A0A7-7D0EDBF987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4500" y="1206500"/>
              <a:ext cx="5327650" cy="39497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393700</xdr:colOff>
      <xdr:row>27</xdr:row>
      <xdr:rowOff>50800</xdr:rowOff>
    </xdr:from>
    <xdr:to>
      <xdr:col>6</xdr:col>
      <xdr:colOff>292100</xdr:colOff>
      <xdr:row>42</xdr:row>
      <xdr:rowOff>177800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0AB9A82-DA69-7545-A400-6E6A3D2674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93700" y="5537200"/>
              <a:ext cx="5613400" cy="3175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7</xdr:col>
      <xdr:colOff>0</xdr:colOff>
      <xdr:row>8</xdr:row>
      <xdr:rowOff>112058</xdr:rowOff>
    </xdr:from>
    <xdr:ext cx="4781177" cy="2512483"/>
    <xdr:sp macro="" textlink="">
      <xdr:nvSpPr>
        <xdr:cNvPr id="4" name="TextBox 3">
          <a:extLst>
            <a:ext uri="{FF2B5EF4-FFF2-40B4-BE49-F238E27FC236}">
              <a16:creationId xmlns:a16="http://schemas.microsoft.com/office/drawing/2014/main" id="{D649D68D-9234-E0E3-ADD7-CC8D692F9CAF}"/>
            </a:ext>
          </a:extLst>
        </xdr:cNvPr>
        <xdr:cNvSpPr txBox="1"/>
      </xdr:nvSpPr>
      <xdr:spPr>
        <a:xfrm>
          <a:off x="6667500" y="1755587"/>
          <a:ext cx="4781177" cy="2512483"/>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a:t>The boxplot above compares the accuracy results of the J48 and MLP models across 30 randomized trials. Each box represents the interquartile range (IQR), which contains the middle 50% of accuracy scores—from the first quartile (Q1) to the third quartile (Q3). The line inside each box marks the median accuracy. The “whiskers” extend to the minimum and maximum values within 1.5 times the IQR, while any dots outside the whiskers are considered outliers—accuracy scores that were significantly different from the rest. Interestingly, the J48 model shows a higher median accuracy and a tighter spread, indicating more stable and consistent performance. In contrast, MLP has a lower median, a wider spread, and more outliers, which suggests it was more sensitive to data variation across trials. Overall, this visual supports the conclusion that J48 not only performed better but did so more reliably.</a:t>
          </a:r>
        </a:p>
      </xdr:txBody>
    </xdr:sp>
    <xdr:clientData/>
  </xdr:oneCellAnchor>
  <xdr:oneCellAnchor>
    <xdr:from>
      <xdr:col>7</xdr:col>
      <xdr:colOff>1</xdr:colOff>
      <xdr:row>29</xdr:row>
      <xdr:rowOff>168088</xdr:rowOff>
    </xdr:from>
    <xdr:ext cx="4781176" cy="2512483"/>
    <xdr:sp macro="" textlink="">
      <xdr:nvSpPr>
        <xdr:cNvPr id="5" name="TextBox 4">
          <a:extLst>
            <a:ext uri="{FF2B5EF4-FFF2-40B4-BE49-F238E27FC236}">
              <a16:creationId xmlns:a16="http://schemas.microsoft.com/office/drawing/2014/main" id="{19105CAE-1828-CED1-A196-6195A2D9311E}"/>
            </a:ext>
          </a:extLst>
        </xdr:cNvPr>
        <xdr:cNvSpPr txBox="1"/>
      </xdr:nvSpPr>
      <xdr:spPr>
        <a:xfrm>
          <a:off x="6667501" y="6125882"/>
          <a:ext cx="4781176" cy="2512483"/>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CA"/>
            <a:t>The histogram illustrates the distribution of accuracy differences between the J48 and MLP models across the 30 experimental trials. Each value represents the result of subtracting the MLP accuracy from the J48 accuracy for a given trial. Most of the values fall within the 0 to 5% range, suggesting that in the majority of trials, the J48 model outperformed MLP by a moderate margin. The overall shape of the histogram is roughly symmetric and centered around a positive difference, which supports the idea that J48 consistently yielded better results. Additionally, this bell-shaped distribution helps validate the assumption of normality required for conducting a paired t-test. In other words, not only did J48 generally perform better, but the difference in performance followed a distribution suitable for reliable statistical analysis.</a:t>
          </a:r>
        </a:p>
        <a:p>
          <a:endParaRPr lang="en-US" sz="1100"/>
        </a:p>
      </xdr:txBody>
    </xdr:sp>
    <xdr:clientData/>
  </xdr:oneCellAnchor>
  <xdr:oneCellAnchor>
    <xdr:from>
      <xdr:col>14</xdr:col>
      <xdr:colOff>373528</xdr:colOff>
      <xdr:row>23</xdr:row>
      <xdr:rowOff>93382</xdr:rowOff>
    </xdr:from>
    <xdr:ext cx="3740931" cy="1993879"/>
    <xdr:sp macro="" textlink="">
      <xdr:nvSpPr>
        <xdr:cNvPr id="6" name="TextBox 5">
          <a:extLst>
            <a:ext uri="{FF2B5EF4-FFF2-40B4-BE49-F238E27FC236}">
              <a16:creationId xmlns:a16="http://schemas.microsoft.com/office/drawing/2014/main" id="{91552BCF-8E39-5FDA-0C35-4BA65EF3315E}"/>
            </a:ext>
          </a:extLst>
        </xdr:cNvPr>
        <xdr:cNvSpPr txBox="1"/>
      </xdr:nvSpPr>
      <xdr:spPr>
        <a:xfrm>
          <a:off x="13708528" y="4818529"/>
          <a:ext cx="3740931" cy="1993879"/>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CA"/>
            <a:t>By combining descriptive statistics with visualizations like boxplots and histograms, we were able to assess not only the average performance of each model, but also the consistency and distribution of their results. These visuals helped confirm that the data was suitable for a paired t-test, as the accuracy differences appeared approximately normally distributed and each J48 result could be meaningfully compared to its corresponding MLP result under identical conditions.</a:t>
          </a:r>
        </a:p>
        <a:p>
          <a:endParaRPr lang="en-US" sz="1100"/>
        </a:p>
      </xdr:txBody>
    </xdr:sp>
    <xdr:clientData/>
  </xdr:oneCellAnchor>
  <xdr:twoCellAnchor>
    <xdr:from>
      <xdr:col>12</xdr:col>
      <xdr:colOff>504265</xdr:colOff>
      <xdr:row>16</xdr:row>
      <xdr:rowOff>37353</xdr:rowOff>
    </xdr:from>
    <xdr:to>
      <xdr:col>13</xdr:col>
      <xdr:colOff>896471</xdr:colOff>
      <xdr:row>37</xdr:row>
      <xdr:rowOff>18676</xdr:rowOff>
    </xdr:to>
    <xdr:sp macro="" textlink="">
      <xdr:nvSpPr>
        <xdr:cNvPr id="7" name="Right Brace 6">
          <a:extLst>
            <a:ext uri="{FF2B5EF4-FFF2-40B4-BE49-F238E27FC236}">
              <a16:creationId xmlns:a16="http://schemas.microsoft.com/office/drawing/2014/main" id="{4D2C441E-FFA0-6462-A4DD-801202328CB5}"/>
            </a:ext>
          </a:extLst>
        </xdr:cNvPr>
        <xdr:cNvSpPr/>
      </xdr:nvSpPr>
      <xdr:spPr>
        <a:xfrm>
          <a:off x="11934265" y="3324412"/>
          <a:ext cx="1344706" cy="4295588"/>
        </a:xfrm>
        <a:prstGeom prst="rightBrace">
          <a:avLst/>
        </a:prstGeom>
        <a:ln/>
        <a:effectLst>
          <a:glow rad="139700">
            <a:schemeClr val="accent5">
              <a:satMod val="175000"/>
              <a:alpha val="40000"/>
            </a:schemeClr>
          </a:glow>
          <a:outerShdw blurRad="50800" dist="38100" dir="2700000" algn="tl" rotWithShape="0">
            <a:prstClr val="black">
              <a:alpha val="40000"/>
            </a:prstClr>
          </a:outerShdw>
        </a:effectLst>
      </xdr:spPr>
      <xdr:style>
        <a:lnRef idx="1">
          <a:schemeClr val="accent5"/>
        </a:lnRef>
        <a:fillRef idx="0">
          <a:schemeClr val="accent5"/>
        </a:fillRef>
        <a:effectRef idx="0">
          <a:schemeClr val="accent5"/>
        </a:effectRef>
        <a:fontRef idx="minor">
          <a:schemeClr val="tx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4</xdr:col>
      <xdr:colOff>571500</xdr:colOff>
      <xdr:row>5</xdr:row>
      <xdr:rowOff>152400</xdr:rowOff>
    </xdr:from>
    <xdr:ext cx="3884824" cy="4242700"/>
    <xdr:sp macro="" textlink="">
      <xdr:nvSpPr>
        <xdr:cNvPr id="2" name="TextBox 1">
          <a:extLst>
            <a:ext uri="{FF2B5EF4-FFF2-40B4-BE49-F238E27FC236}">
              <a16:creationId xmlns:a16="http://schemas.microsoft.com/office/drawing/2014/main" id="{C65ADD85-8699-85BF-90A7-1F334B7F5BF4}"/>
            </a:ext>
          </a:extLst>
        </xdr:cNvPr>
        <xdr:cNvSpPr txBox="1"/>
      </xdr:nvSpPr>
      <xdr:spPr>
        <a:xfrm>
          <a:off x="4483100" y="1168400"/>
          <a:ext cx="3884824" cy="4242700"/>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This table presents the accuracy results of 30 experimental runs for both the J48 Decision Tree algorithm and the Multilayer Perceptron (MLP) model. Each run used a different randomized training/testing split, maintaining experimental consistency.</a:t>
          </a:r>
        </a:p>
        <a:p>
          <a:endParaRPr lang="en-US" sz="1100"/>
        </a:p>
        <a:p>
          <a:r>
            <a:rPr lang="en-US" sz="1100"/>
            <a:t>The “Difference” column calculates the accuracy gap between J48 and MLP for each run (J48 - MLP).</a:t>
          </a:r>
        </a:p>
        <a:p>
          <a:endParaRPr lang="en-US" sz="1100"/>
        </a:p>
        <a:p>
          <a:r>
            <a:rPr lang="en-US" sz="1100"/>
            <a:t>This difference is important because it allows us to measure how much better or worse J48 performs relative to MLP on the exact same dataset splits. The presence of both positive and negative values indicates variability, but </a:t>
          </a:r>
          <a:r>
            <a:rPr lang="en-US" sz="1100" b="1"/>
            <a:t>the majority of the differences are positive — suggesting that J48 consistently outperforms MLP.</a:t>
          </a:r>
        </a:p>
        <a:p>
          <a:endParaRPr lang="en-US" sz="1100"/>
        </a:p>
        <a:p>
          <a:r>
            <a:rPr lang="en-US" sz="1100"/>
            <a:t>These paired differences form the foundation for the paired t-test, which statistically evaluates whether the mean difference is significantly different from zero. If the t-test supports this difference as statistically significant (as ours does), it provides strong evidence in favor of one model outperforming the other.</a:t>
          </a:r>
        </a:p>
        <a:p>
          <a:endParaRPr lang="en-US"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342901</xdr:colOff>
      <xdr:row>4</xdr:row>
      <xdr:rowOff>101600</xdr:rowOff>
    </xdr:from>
    <xdr:ext cx="5130800" cy="1994585"/>
    <xdr:sp macro="" textlink="">
      <xdr:nvSpPr>
        <xdr:cNvPr id="2" name="TextBox 1">
          <a:extLst>
            <a:ext uri="{FF2B5EF4-FFF2-40B4-BE49-F238E27FC236}">
              <a16:creationId xmlns:a16="http://schemas.microsoft.com/office/drawing/2014/main" id="{244971CA-D91D-F657-D965-57DACAB56A27}"/>
            </a:ext>
          </a:extLst>
        </xdr:cNvPr>
        <xdr:cNvSpPr txBox="1"/>
      </xdr:nvSpPr>
      <xdr:spPr>
        <a:xfrm>
          <a:off x="342901" y="914400"/>
          <a:ext cx="5130800" cy="1994585"/>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a:t>This table reports the </a:t>
          </a:r>
          <a:r>
            <a:rPr lang="en-CA" b="1"/>
            <a:t>mean accuracy</a:t>
          </a:r>
          <a:r>
            <a:rPr lang="en-CA"/>
            <a:t> and </a:t>
          </a:r>
          <a:r>
            <a:rPr lang="en-CA" b="1"/>
            <a:t>standard deviation</a:t>
          </a:r>
          <a:r>
            <a:rPr lang="en-CA"/>
            <a:t> (s) for both models across the 30 experimental runs. The J48 Decision Tree achieved a mean accuracy of </a:t>
          </a:r>
          <a:r>
            <a:rPr lang="en-CA" b="1"/>
            <a:t>71.13%</a:t>
          </a:r>
          <a:r>
            <a:rPr lang="en-CA"/>
            <a:t> with a standard deviation of </a:t>
          </a:r>
          <a:r>
            <a:rPr lang="en-CA" b="1"/>
            <a:t>3.46</a:t>
          </a:r>
          <a:r>
            <a:rPr lang="en-CA"/>
            <a:t>, while the MLP model had a lower mean accuracy of </a:t>
          </a:r>
          <a:r>
            <a:rPr lang="en-CA" b="1"/>
            <a:t>67.56%</a:t>
          </a:r>
          <a:r>
            <a:rPr lang="en-CA"/>
            <a:t> and a slightly higher standard deviation of </a:t>
          </a:r>
          <a:r>
            <a:rPr lang="en-CA" b="1"/>
            <a:t>3.53</a:t>
          </a:r>
          <a:r>
            <a:rPr lang="en-CA"/>
            <a:t>.</a:t>
          </a:r>
        </a:p>
        <a:p>
          <a:endParaRPr lang="en-CA"/>
        </a:p>
        <a:p>
          <a:r>
            <a:rPr lang="en-CA"/>
            <a:t>The </a:t>
          </a:r>
          <a:r>
            <a:rPr lang="en-CA" b="0"/>
            <a:t>mean accuracy </a:t>
          </a:r>
          <a:r>
            <a:rPr lang="en-CA"/>
            <a:t>reflects the overall performance of each model, averaged across all trials. A higher mean indicates better general performance. The </a:t>
          </a:r>
          <a:r>
            <a:rPr lang="en-CA" b="0"/>
            <a:t>standard deviation </a:t>
          </a:r>
          <a:r>
            <a:rPr lang="en-CA"/>
            <a:t>represents how much the accuracy varied between runs ,</a:t>
          </a:r>
          <a:r>
            <a:rPr lang="en-CA" baseline="0"/>
            <a:t> where </a:t>
          </a:r>
          <a:r>
            <a:rPr lang="en-CA"/>
            <a:t>a lower standard deviation implies more consistent results.</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4</xdr:col>
      <xdr:colOff>141151</xdr:colOff>
      <xdr:row>7</xdr:row>
      <xdr:rowOff>184175</xdr:rowOff>
    </xdr:from>
    <xdr:to>
      <xdr:col>9</xdr:col>
      <xdr:colOff>682873</xdr:colOff>
      <xdr:row>21</xdr:row>
      <xdr:rowOff>80681</xdr:rowOff>
    </xdr:to>
    <xdr:graphicFrame macro="">
      <xdr:nvGraphicFramePr>
        <xdr:cNvPr id="3" name="Chart 2">
          <a:extLst>
            <a:ext uri="{FF2B5EF4-FFF2-40B4-BE49-F238E27FC236}">
              <a16:creationId xmlns:a16="http://schemas.microsoft.com/office/drawing/2014/main" id="{77B6F4C8-A8E2-AA94-419E-42A7DE8D8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911297</xdr:colOff>
      <xdr:row>11</xdr:row>
      <xdr:rowOff>126031</xdr:rowOff>
    </xdr:from>
    <xdr:to>
      <xdr:col>6</xdr:col>
      <xdr:colOff>145515</xdr:colOff>
      <xdr:row>12</xdr:row>
      <xdr:rowOff>193893</xdr:rowOff>
    </xdr:to>
    <xdr:sp macro="" textlink="">
      <xdr:nvSpPr>
        <xdr:cNvPr id="2" name="Left Brace 1">
          <a:extLst>
            <a:ext uri="{FF2B5EF4-FFF2-40B4-BE49-F238E27FC236}">
              <a16:creationId xmlns:a16="http://schemas.microsoft.com/office/drawing/2014/main" id="{E92E8511-31F4-A34C-A282-2B5D0831564B}"/>
            </a:ext>
          </a:extLst>
        </xdr:cNvPr>
        <xdr:cNvSpPr/>
      </xdr:nvSpPr>
      <xdr:spPr>
        <a:xfrm rot="5400000">
          <a:off x="5143063" y="1934036"/>
          <a:ext cx="271449" cy="1134371"/>
        </a:xfrm>
        <a:prstGeom prst="leftBrace">
          <a:avLst/>
        </a:prstGeom>
        <a:ln>
          <a:solidFill>
            <a:schemeClr val="accent5">
              <a:lumMod val="50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918277</xdr:colOff>
      <xdr:row>11</xdr:row>
      <xdr:rowOff>123317</xdr:rowOff>
    </xdr:from>
    <xdr:to>
      <xdr:col>9</xdr:col>
      <xdr:colOff>152495</xdr:colOff>
      <xdr:row>12</xdr:row>
      <xdr:rowOff>191179</xdr:rowOff>
    </xdr:to>
    <xdr:sp macro="" textlink="">
      <xdr:nvSpPr>
        <xdr:cNvPr id="4" name="Left Brace 3">
          <a:extLst>
            <a:ext uri="{FF2B5EF4-FFF2-40B4-BE49-F238E27FC236}">
              <a16:creationId xmlns:a16="http://schemas.microsoft.com/office/drawing/2014/main" id="{BC6849DB-42D3-1846-884B-8D1B78485E17}"/>
            </a:ext>
          </a:extLst>
        </xdr:cNvPr>
        <xdr:cNvSpPr/>
      </xdr:nvSpPr>
      <xdr:spPr>
        <a:xfrm rot="5400000">
          <a:off x="8000272" y="1931322"/>
          <a:ext cx="271449" cy="1134371"/>
        </a:xfrm>
        <a:prstGeom prst="leftBrace">
          <a:avLst/>
        </a:prstGeom>
        <a:ln>
          <a:solidFill>
            <a:schemeClr val="accent5">
              <a:lumMod val="50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oneCellAnchor>
    <xdr:from>
      <xdr:col>7</xdr:col>
      <xdr:colOff>918277</xdr:colOff>
      <xdr:row>10</xdr:row>
      <xdr:rowOff>55455</xdr:rowOff>
    </xdr:from>
    <xdr:ext cx="1029256" cy="218073"/>
    <xdr:sp macro="" textlink="">
      <xdr:nvSpPr>
        <xdr:cNvPr id="5" name="TextBox 4">
          <a:extLst>
            <a:ext uri="{FF2B5EF4-FFF2-40B4-BE49-F238E27FC236}">
              <a16:creationId xmlns:a16="http://schemas.microsoft.com/office/drawing/2014/main" id="{FAC47ABA-ABF6-B34E-8889-97C60A936044}"/>
            </a:ext>
          </a:extLst>
        </xdr:cNvPr>
        <xdr:cNvSpPr txBox="1"/>
      </xdr:nvSpPr>
      <xdr:spPr>
        <a:xfrm>
          <a:off x="7568811" y="2091333"/>
          <a:ext cx="1029256" cy="218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a:t>Rejection</a:t>
          </a:r>
          <a:r>
            <a:rPr lang="en-US" sz="800" baseline="0"/>
            <a:t> Region</a:t>
          </a:r>
          <a:endParaRPr lang="en-US" sz="800"/>
        </a:p>
      </xdr:txBody>
    </xdr:sp>
    <xdr:clientData/>
  </xdr:oneCellAnchor>
  <xdr:oneCellAnchor>
    <xdr:from>
      <xdr:col>5</xdr:col>
      <xdr:colOff>4264</xdr:colOff>
      <xdr:row>10</xdr:row>
      <xdr:rowOff>52740</xdr:rowOff>
    </xdr:from>
    <xdr:ext cx="1029256" cy="218073"/>
    <xdr:sp macro="" textlink="">
      <xdr:nvSpPr>
        <xdr:cNvPr id="6" name="TextBox 5">
          <a:extLst>
            <a:ext uri="{FF2B5EF4-FFF2-40B4-BE49-F238E27FC236}">
              <a16:creationId xmlns:a16="http://schemas.microsoft.com/office/drawing/2014/main" id="{2E17C9C8-5184-234D-A987-A1351B42E708}"/>
            </a:ext>
          </a:extLst>
        </xdr:cNvPr>
        <xdr:cNvSpPr txBox="1"/>
      </xdr:nvSpPr>
      <xdr:spPr>
        <a:xfrm>
          <a:off x="4754646" y="2088618"/>
          <a:ext cx="1029256" cy="218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a:t>Rejection</a:t>
          </a:r>
          <a:r>
            <a:rPr lang="en-US" sz="800" baseline="0"/>
            <a:t> Region</a:t>
          </a:r>
          <a:endParaRPr lang="en-US" sz="800"/>
        </a:p>
      </xdr:txBody>
    </xdr:sp>
    <xdr:clientData/>
  </xdr:oneCellAnchor>
</xdr:wsDr>
</file>

<file path=xl/drawings/drawing7.xml><?xml version="1.0" encoding="utf-8"?>
<c:userShapes xmlns:c="http://schemas.openxmlformats.org/drawingml/2006/chart">
  <cdr:relSizeAnchor xmlns:cdr="http://schemas.openxmlformats.org/drawingml/2006/chartDrawing">
    <cdr:from>
      <cdr:x>0.32486</cdr:x>
      <cdr:y>0.34063</cdr:y>
    </cdr:from>
    <cdr:to>
      <cdr:x>0.37477</cdr:x>
      <cdr:y>0.7529</cdr:y>
    </cdr:to>
    <cdr:sp macro="" textlink="">
      <cdr:nvSpPr>
        <cdr:cNvPr id="9" name="TextBox 14">
          <a:extLst xmlns:a="http://schemas.openxmlformats.org/drawingml/2006/main">
            <a:ext uri="{FF2B5EF4-FFF2-40B4-BE49-F238E27FC236}">
              <a16:creationId xmlns:a16="http://schemas.microsoft.com/office/drawing/2014/main" id="{DA02E7F2-D8BC-F8F5-29C3-1ABB61EC29BC}"/>
            </a:ext>
          </a:extLst>
        </cdr:cNvPr>
        <cdr:cNvSpPr txBox="1"/>
      </cdr:nvSpPr>
      <cdr:spPr>
        <a:xfrm xmlns:a="http://schemas.openxmlformats.org/drawingml/2006/main" rot="16200000">
          <a:off x="1297843" y="1365943"/>
          <a:ext cx="1130158" cy="265791"/>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a:t>Critical Value </a:t>
          </a:r>
        </a:p>
      </cdr:txBody>
    </cdr:sp>
  </cdr:relSizeAnchor>
  <cdr:relSizeAnchor xmlns:cdr="http://schemas.openxmlformats.org/drawingml/2006/chartDrawing">
    <cdr:from>
      <cdr:x>0.67076</cdr:x>
      <cdr:y>0.34775</cdr:y>
    </cdr:from>
    <cdr:to>
      <cdr:x>0.72068</cdr:x>
      <cdr:y>0.76002</cdr:y>
    </cdr:to>
    <cdr:sp macro="" textlink="">
      <cdr:nvSpPr>
        <cdr:cNvPr id="10" name="TextBox 14">
          <a:extLst xmlns:a="http://schemas.openxmlformats.org/drawingml/2006/main">
            <a:ext uri="{FF2B5EF4-FFF2-40B4-BE49-F238E27FC236}">
              <a16:creationId xmlns:a16="http://schemas.microsoft.com/office/drawing/2014/main" id="{DA02E7F2-D8BC-F8F5-29C3-1ABB61EC29BC}"/>
            </a:ext>
          </a:extLst>
        </cdr:cNvPr>
        <cdr:cNvSpPr txBox="1"/>
      </cdr:nvSpPr>
      <cdr:spPr>
        <a:xfrm xmlns:a="http://schemas.openxmlformats.org/drawingml/2006/main" rot="5400000">
          <a:off x="3139916" y="1385433"/>
          <a:ext cx="1130158" cy="26584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a:t>Critical Value </a:t>
          </a:r>
        </a:p>
      </cdr:txBody>
    </cdr:sp>
  </cdr:relSizeAnchor>
  <cdr:relSizeAnchor xmlns:cdr="http://schemas.openxmlformats.org/drawingml/2006/chartDrawing">
    <cdr:from>
      <cdr:x>0.09236</cdr:x>
      <cdr:y>0.67675</cdr:y>
    </cdr:from>
    <cdr:to>
      <cdr:x>0.14227</cdr:x>
      <cdr:y>0.87135</cdr:y>
    </cdr:to>
    <cdr:sp macro="" textlink="">
      <cdr:nvSpPr>
        <cdr:cNvPr id="11" name="TextBox 14">
          <a:extLst xmlns:a="http://schemas.openxmlformats.org/drawingml/2006/main">
            <a:ext uri="{FF2B5EF4-FFF2-40B4-BE49-F238E27FC236}">
              <a16:creationId xmlns:a16="http://schemas.microsoft.com/office/drawing/2014/main" id="{DA02E7F2-D8BC-F8F5-29C3-1ABB61EC29BC}"/>
            </a:ext>
          </a:extLst>
        </cdr:cNvPr>
        <cdr:cNvSpPr txBox="1"/>
      </cdr:nvSpPr>
      <cdr:spPr>
        <a:xfrm xmlns:a="http://schemas.openxmlformats.org/drawingml/2006/main" rot="16200000">
          <a:off x="358001" y="1989020"/>
          <a:ext cx="533458" cy="26579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a:t>P-Val</a:t>
          </a:r>
        </a:p>
      </cdr:txBody>
    </cdr:sp>
  </cdr:relSizeAnchor>
  <cdr:relSizeAnchor xmlns:cdr="http://schemas.openxmlformats.org/drawingml/2006/chartDrawing">
    <cdr:from>
      <cdr:x>0.90168</cdr:x>
      <cdr:y>0.66815</cdr:y>
    </cdr:from>
    <cdr:to>
      <cdr:x>0.9516</cdr:x>
      <cdr:y>0.86275</cdr:y>
    </cdr:to>
    <cdr:sp macro="" textlink="">
      <cdr:nvSpPr>
        <cdr:cNvPr id="12" name="TextBox 14">
          <a:extLst xmlns:a="http://schemas.openxmlformats.org/drawingml/2006/main">
            <a:ext uri="{FF2B5EF4-FFF2-40B4-BE49-F238E27FC236}">
              <a16:creationId xmlns:a16="http://schemas.microsoft.com/office/drawing/2014/main" id="{6427E19D-64FD-C0BB-6C2A-2DF575821D77}"/>
            </a:ext>
          </a:extLst>
        </cdr:cNvPr>
        <cdr:cNvSpPr txBox="1"/>
      </cdr:nvSpPr>
      <cdr:spPr>
        <a:xfrm xmlns:a="http://schemas.openxmlformats.org/drawingml/2006/main" rot="5400000">
          <a:off x="4654935" y="1985981"/>
          <a:ext cx="538609" cy="26526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a:t>P-Val</a:t>
          </a:r>
        </a:p>
      </cdr:txBody>
    </cdr: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2944F6C-9702-7B46-B14B-2285A82443F9}" name="Table4" displayName="Table4" ref="A3:C14" totalsRowShown="0" headerRowDxfId="8" dataDxfId="6" headerRowBorderDxfId="7" tableBorderDxfId="5" headerRowCellStyle="40% - Accent5" dataCellStyle="40% - Accent5">
  <autoFilter ref="A3:C14" xr:uid="{22944F6C-9702-7B46-B14B-2285A82443F9}"/>
  <tableColumns count="3">
    <tableColumn id="1" xr3:uid="{02012226-FE01-294F-BD51-7566BA991993}" name="Column1" dataDxfId="4" dataCellStyle="40% - Accent5"/>
    <tableColumn id="2" xr3:uid="{240F3212-E0B4-CC4C-A0E8-725E0CC7444D}" name="J48" dataDxfId="3" dataCellStyle="40% - Accent5"/>
    <tableColumn id="3" xr3:uid="{D616A80A-3176-1E4D-BE4B-D274526FDDC1}" name="MLP" dataDxfId="2" dataCellStyle="40% - Accent5"/>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9A78F8-4D84-0A4C-B214-84C6B8685C80}" name="Table2" displayName="Table2" ref="A1:D31" totalsRowShown="0">
  <autoFilter ref="A1:D31" xr:uid="{BA9A78F8-4D84-0A4C-B214-84C6B8685C80}"/>
  <tableColumns count="4">
    <tableColumn id="1" xr3:uid="{8C9C43E9-7BDB-D443-A98C-948F963B1B1E}" name="Key_Runs"/>
    <tableColumn id="2" xr3:uid="{0D73DB5F-F1DE-1549-B11A-FB4300DC7D9A}" name="J_48">
      <calculatedColumnFormula>breast_cancer_experiment_result!L2</calculatedColumnFormula>
    </tableColumn>
    <tableColumn id="3" xr3:uid="{AB914D7A-C3FD-334D-B926-9C222D014DDF}" name="MLP">
      <calculatedColumnFormula>breast_cancer_experiment_result!L32</calculatedColumnFormula>
    </tableColumn>
    <tableColumn id="4" xr3:uid="{4F4BFB48-6120-3E46-A561-9C90386A5A78}" name="Difference">
      <calculatedColumnFormula>B2-C2</calculatedColumnFormula>
    </tableColumn>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8E6578-353F-B241-9CF6-B0F1AA413A8A}" name="Table1" displayName="Table1" ref="A1:C3" totalsRowShown="0">
  <autoFilter ref="A1:C3" xr:uid="{978E6578-353F-B241-9CF6-B0F1AA413A8A}"/>
  <tableColumns count="3">
    <tableColumn id="1" xr3:uid="{A90B21F4-496F-D947-A206-157417E93118}" name="Model"/>
    <tableColumn id="2" xr3:uid="{C4816077-AF78-5249-A1E8-3922E31BB5B1}" name="Mean Accuracy" dataDxfId="1">
      <calculatedColumnFormula>AVERAGE('Accuracy Analysis'!C1:C30)</calculatedColumnFormula>
    </tableColumn>
    <tableColumn id="3" xr3:uid="{642E4D39-F4D5-B54B-8C65-88F13736D854}" name="Standard Deviation (𝑺)" dataDxfId="0">
      <calculatedColumnFormula>_xlfn.STDEV.S('Accuracy Analysis'!C1:C30)</calculatedColumnFormula>
    </tableColumn>
  </tableColumns>
  <tableStyleInfo name="TableStyleMedium13"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F113739-9A3D-7740-A295-11CFCFD3D867}">
  <we:reference id="287764d4-2b04-4234-ba21-9a7ffa053e5c" version="1.0.0.0" store="EXCatalog" storeType="EXCatalog"/>
  <we:alternateReferences>
    <we:reference id="WA200002503" version="1.0.0.0" store="en-CA"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95F28-2296-DA40-B1A9-CEBD530004C1}">
  <dimension ref="A1:BQ61"/>
  <sheetViews>
    <sheetView zoomScale="56" workbookViewId="0">
      <selection activeCell="C1" sqref="C1"/>
    </sheetView>
  </sheetViews>
  <sheetFormatPr baseColWidth="10" defaultRowHeight="16" x14ac:dyDescent="0.2"/>
  <cols>
    <col min="2" max="2" width="10.85546875" bestFit="1" customWidth="1"/>
    <col min="3" max="3" width="39.7109375" bestFit="1" customWidth="1"/>
    <col min="5" max="5" width="12.42578125" bestFit="1" customWidth="1"/>
    <col min="6" max="12" width="10.85546875" bestFit="1" customWidth="1"/>
  </cols>
  <sheetData>
    <row r="1" spans="1:6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row>
    <row r="2" spans="1:69" x14ac:dyDescent="0.2">
      <c r="A2" t="s">
        <v>69</v>
      </c>
      <c r="B2">
        <v>1</v>
      </c>
      <c r="C2" t="s">
        <v>70</v>
      </c>
      <c r="D2" t="s">
        <v>71</v>
      </c>
      <c r="E2">
        <v>-2.17733168393644E+17</v>
      </c>
      <c r="F2" s="1">
        <v>20250406.221099999</v>
      </c>
      <c r="G2">
        <v>190</v>
      </c>
      <c r="H2">
        <v>96</v>
      </c>
      <c r="I2">
        <v>71</v>
      </c>
      <c r="J2">
        <v>25</v>
      </c>
      <c r="K2">
        <v>0</v>
      </c>
      <c r="L2">
        <v>73.9583333333333</v>
      </c>
      <c r="M2">
        <v>26.0416666666666</v>
      </c>
      <c r="N2">
        <v>0</v>
      </c>
      <c r="O2">
        <v>0.232736572890025</v>
      </c>
      <c r="P2">
        <v>0.36916502383498101</v>
      </c>
      <c r="Q2">
        <v>0.47318877892654698</v>
      </c>
      <c r="R2">
        <v>88.415406955904103</v>
      </c>
      <c r="S2">
        <v>104.077818416475</v>
      </c>
      <c r="T2">
        <v>83.638867254530396</v>
      </c>
      <c r="U2">
        <v>5444.08759817585</v>
      </c>
      <c r="V2">
        <v>-5360.44873092132</v>
      </c>
      <c r="W2">
        <v>0.87123820056802503</v>
      </c>
      <c r="X2">
        <v>56.709245814331702</v>
      </c>
      <c r="Y2">
        <v>-55.8380076137637</v>
      </c>
      <c r="Z2">
        <v>9.0613784386049296</v>
      </c>
      <c r="AA2">
        <v>9.4389358735467999E-2</v>
      </c>
      <c r="AB2">
        <v>10.8339325197091</v>
      </c>
      <c r="AC2">
        <v>0.94117647058823495</v>
      </c>
      <c r="AD2">
        <v>64</v>
      </c>
      <c r="AE2">
        <v>0.75</v>
      </c>
      <c r="AF2">
        <v>21</v>
      </c>
      <c r="AG2">
        <v>0.25</v>
      </c>
      <c r="AH2">
        <v>7</v>
      </c>
      <c r="AI2">
        <v>5.8823529411764698E-2</v>
      </c>
      <c r="AJ2">
        <v>4</v>
      </c>
      <c r="AK2">
        <v>0.752941176470588</v>
      </c>
      <c r="AL2">
        <v>0.94117647058823495</v>
      </c>
      <c r="AM2">
        <v>0.83660130718954195</v>
      </c>
      <c r="AN2">
        <v>0.27281114365190501</v>
      </c>
      <c r="AO2">
        <v>0.56433823529411697</v>
      </c>
      <c r="AP2">
        <v>0.73852486396857497</v>
      </c>
      <c r="AQ2">
        <v>0.73958333333333304</v>
      </c>
      <c r="AR2">
        <v>0.54840686274509798</v>
      </c>
      <c r="AS2">
        <v>0.45159313725490102</v>
      </c>
      <c r="AT2">
        <v>0.26041666666666602</v>
      </c>
      <c r="AU2">
        <v>0.71893939393939299</v>
      </c>
      <c r="AV2">
        <v>0.73958333333333304</v>
      </c>
      <c r="AW2">
        <v>0.697293447293447</v>
      </c>
      <c r="AX2">
        <v>0.27281114365190501</v>
      </c>
      <c r="AY2">
        <v>0.56433823529411697</v>
      </c>
      <c r="AZ2">
        <v>0.63331661784553095</v>
      </c>
      <c r="BA2">
        <v>0.59778783308195005</v>
      </c>
      <c r="BB2">
        <v>0.73958333333333304</v>
      </c>
      <c r="BC2">
        <v>1.0999999999999999E-2</v>
      </c>
      <c r="BD2">
        <v>2E-3</v>
      </c>
      <c r="BE2">
        <v>8.2310000000000005E-3</v>
      </c>
      <c r="BF2">
        <v>1.186E-3</v>
      </c>
      <c r="BG2">
        <v>8.2309999999999999</v>
      </c>
      <c r="BH2">
        <v>1.1859999999999999</v>
      </c>
      <c r="BI2">
        <v>8820</v>
      </c>
      <c r="BJ2">
        <v>23834</v>
      </c>
      <c r="BK2">
        <v>13588</v>
      </c>
      <c r="BL2">
        <v>94.7916666666666</v>
      </c>
      <c r="BM2">
        <v>96.3541666666666</v>
      </c>
      <c r="BN2" t="s">
        <v>72</v>
      </c>
      <c r="BO2">
        <v>24</v>
      </c>
      <c r="BP2">
        <v>20</v>
      </c>
      <c r="BQ2">
        <v>20</v>
      </c>
    </row>
    <row r="3" spans="1:69" x14ac:dyDescent="0.2">
      <c r="A3" t="s">
        <v>69</v>
      </c>
      <c r="B3">
        <v>2</v>
      </c>
      <c r="C3" t="s">
        <v>70</v>
      </c>
      <c r="D3" t="s">
        <v>71</v>
      </c>
      <c r="E3">
        <v>-2.17733168393644E+17</v>
      </c>
      <c r="F3" s="1">
        <v>20250406.221099999</v>
      </c>
      <c r="G3">
        <v>188</v>
      </c>
      <c r="H3">
        <v>98</v>
      </c>
      <c r="I3">
        <v>62</v>
      </c>
      <c r="J3">
        <v>36</v>
      </c>
      <c r="K3">
        <v>0</v>
      </c>
      <c r="L3">
        <v>63.265306122448898</v>
      </c>
      <c r="M3">
        <v>36.734693877551003</v>
      </c>
      <c r="N3">
        <v>0</v>
      </c>
      <c r="O3">
        <v>0.118440779610194</v>
      </c>
      <c r="P3">
        <v>0.39525363336823999</v>
      </c>
      <c r="Q3">
        <v>0.47669072981663901</v>
      </c>
      <c r="R3">
        <v>94.475258707530699</v>
      </c>
      <c r="S3">
        <v>104.42918178642699</v>
      </c>
      <c r="T3">
        <v>85.877551156073196</v>
      </c>
      <c r="U3">
        <v>92.387138755773194</v>
      </c>
      <c r="V3">
        <v>-6.5095875996999801</v>
      </c>
      <c r="W3">
        <v>0.87630154240891001</v>
      </c>
      <c r="X3">
        <v>0.942725905671155</v>
      </c>
      <c r="Y3">
        <v>-6.6424363262244698E-2</v>
      </c>
      <c r="Z3">
        <v>1.1787618786045999</v>
      </c>
      <c r="AA3">
        <v>1.2028182434740801E-2</v>
      </c>
      <c r="AB3">
        <v>1.3726076986782301</v>
      </c>
      <c r="AC3">
        <v>0.73913043478260798</v>
      </c>
      <c r="AD3">
        <v>51</v>
      </c>
      <c r="AE3">
        <v>0.62068965517241304</v>
      </c>
      <c r="AF3">
        <v>18</v>
      </c>
      <c r="AG3">
        <v>0.37931034482758602</v>
      </c>
      <c r="AH3">
        <v>11</v>
      </c>
      <c r="AI3">
        <v>0.26086956521739102</v>
      </c>
      <c r="AJ3">
        <v>18</v>
      </c>
      <c r="AK3">
        <v>0.73913043478260798</v>
      </c>
      <c r="AL3">
        <v>0.73913043478260798</v>
      </c>
      <c r="AM3">
        <v>0.73913043478260798</v>
      </c>
      <c r="AN3">
        <v>0.118440779610194</v>
      </c>
      <c r="AO3">
        <v>0.56371814092953498</v>
      </c>
      <c r="AP3">
        <v>0.732822807762046</v>
      </c>
      <c r="AQ3">
        <v>0.63265306122448906</v>
      </c>
      <c r="AR3">
        <v>0.514212281614294</v>
      </c>
      <c r="AS3">
        <v>0.485787718385705</v>
      </c>
      <c r="AT3">
        <v>0.36734693877551</v>
      </c>
      <c r="AU3">
        <v>0.63265306122448906</v>
      </c>
      <c r="AV3">
        <v>0.63265306122448906</v>
      </c>
      <c r="AW3">
        <v>0.63265306122448906</v>
      </c>
      <c r="AX3">
        <v>0.118440779610194</v>
      </c>
      <c r="AY3">
        <v>0.56371814092953498</v>
      </c>
      <c r="AZ3">
        <v>0.61471864757648897</v>
      </c>
      <c r="BA3">
        <v>0.55922038980509703</v>
      </c>
      <c r="BB3">
        <v>0.63265306122448906</v>
      </c>
      <c r="BC3">
        <v>2E-3</v>
      </c>
      <c r="BD3">
        <v>1E-3</v>
      </c>
      <c r="BE3">
        <v>2.2130000000000001E-3</v>
      </c>
      <c r="BF3" s="1">
        <v>4.3399999999999998E-4</v>
      </c>
      <c r="BG3">
        <v>2.2130000000000001</v>
      </c>
      <c r="BH3">
        <v>0.434</v>
      </c>
      <c r="BI3">
        <v>5348</v>
      </c>
      <c r="BJ3">
        <v>23616</v>
      </c>
      <c r="BK3">
        <v>13806</v>
      </c>
      <c r="BL3">
        <v>100</v>
      </c>
      <c r="BM3">
        <v>100</v>
      </c>
      <c r="BN3" t="s">
        <v>73</v>
      </c>
      <c r="BO3">
        <v>4</v>
      </c>
      <c r="BP3">
        <v>3</v>
      </c>
      <c r="BQ3">
        <v>3</v>
      </c>
    </row>
    <row r="4" spans="1:69" x14ac:dyDescent="0.2">
      <c r="A4" t="s">
        <v>69</v>
      </c>
      <c r="B4">
        <v>3</v>
      </c>
      <c r="C4" t="s">
        <v>70</v>
      </c>
      <c r="D4" t="s">
        <v>71</v>
      </c>
      <c r="E4">
        <v>-2.17733168393644E+17</v>
      </c>
      <c r="F4" s="1">
        <v>20250406.221099999</v>
      </c>
      <c r="G4">
        <v>190</v>
      </c>
      <c r="H4">
        <v>96</v>
      </c>
      <c r="I4">
        <v>69</v>
      </c>
      <c r="J4">
        <v>27</v>
      </c>
      <c r="K4">
        <v>0</v>
      </c>
      <c r="L4">
        <v>71.875</v>
      </c>
      <c r="M4">
        <v>28.125</v>
      </c>
      <c r="N4">
        <v>0</v>
      </c>
      <c r="O4">
        <v>0.17135549872122699</v>
      </c>
      <c r="P4">
        <v>0.36253104534354502</v>
      </c>
      <c r="Q4">
        <v>0.46739935558235601</v>
      </c>
      <c r="R4">
        <v>86.826562211177404</v>
      </c>
      <c r="S4">
        <v>102.804435406591</v>
      </c>
      <c r="T4">
        <v>83.638867254530396</v>
      </c>
      <c r="U4">
        <v>4368.5792567803201</v>
      </c>
      <c r="V4">
        <v>-4284.9403895257901</v>
      </c>
      <c r="W4">
        <v>0.87123820056802503</v>
      </c>
      <c r="X4">
        <v>45.506033924794998</v>
      </c>
      <c r="Y4">
        <v>-44.634795724226997</v>
      </c>
      <c r="Z4">
        <v>10.414405095477999</v>
      </c>
      <c r="AA4">
        <v>0.108483386411229</v>
      </c>
      <c r="AB4">
        <v>12.451633358190699</v>
      </c>
      <c r="AC4">
        <v>0.92647058823529405</v>
      </c>
      <c r="AD4">
        <v>63</v>
      </c>
      <c r="AE4">
        <v>0.78571428571428503</v>
      </c>
      <c r="AF4">
        <v>22</v>
      </c>
      <c r="AG4">
        <v>0.214285714285714</v>
      </c>
      <c r="AH4">
        <v>6</v>
      </c>
      <c r="AI4">
        <v>7.3529411764705802E-2</v>
      </c>
      <c r="AJ4">
        <v>5</v>
      </c>
      <c r="AK4">
        <v>0.74117647058823499</v>
      </c>
      <c r="AL4">
        <v>0.92647058823529405</v>
      </c>
      <c r="AM4">
        <v>0.82352941176470495</v>
      </c>
      <c r="AN4">
        <v>0.20086095191953399</v>
      </c>
      <c r="AO4">
        <v>0.558298319327731</v>
      </c>
      <c r="AP4">
        <v>0.74933314234784798</v>
      </c>
      <c r="AQ4">
        <v>0.71875</v>
      </c>
      <c r="AR4">
        <v>0.57799369747899099</v>
      </c>
      <c r="AS4">
        <v>0.42200630252100801</v>
      </c>
      <c r="AT4">
        <v>0.28125</v>
      </c>
      <c r="AU4">
        <v>0.68409090909090897</v>
      </c>
      <c r="AV4">
        <v>0.71875</v>
      </c>
      <c r="AW4">
        <v>0.67307692307692302</v>
      </c>
      <c r="AX4">
        <v>0.20086095191953399</v>
      </c>
      <c r="AY4">
        <v>0.558298319327731</v>
      </c>
      <c r="AZ4">
        <v>0.63271601066065397</v>
      </c>
      <c r="BA4">
        <v>0.565610859728506</v>
      </c>
      <c r="BB4">
        <v>0.71875</v>
      </c>
      <c r="BC4">
        <v>3.0000000000000001E-3</v>
      </c>
      <c r="BD4">
        <v>0</v>
      </c>
      <c r="BE4">
        <v>2.176E-3</v>
      </c>
      <c r="BF4" s="1">
        <v>3.8999999999999999E-4</v>
      </c>
      <c r="BG4">
        <v>2.1760000000000002</v>
      </c>
      <c r="BH4">
        <v>0.39</v>
      </c>
      <c r="BI4">
        <v>9524</v>
      </c>
      <c r="BJ4">
        <v>23834</v>
      </c>
      <c r="BK4">
        <v>13588</v>
      </c>
      <c r="BL4">
        <v>95.8333333333333</v>
      </c>
      <c r="BM4">
        <v>93.75</v>
      </c>
      <c r="BN4" t="s">
        <v>74</v>
      </c>
      <c r="BO4">
        <v>28</v>
      </c>
      <c r="BP4">
        <v>23</v>
      </c>
      <c r="BQ4">
        <v>23</v>
      </c>
    </row>
    <row r="5" spans="1:69" x14ac:dyDescent="0.2">
      <c r="A5" t="s">
        <v>69</v>
      </c>
      <c r="B5">
        <v>4</v>
      </c>
      <c r="C5" t="s">
        <v>70</v>
      </c>
      <c r="D5" t="s">
        <v>71</v>
      </c>
      <c r="E5">
        <v>-2.17733168393644E+17</v>
      </c>
      <c r="F5" s="1">
        <v>20250406.221099999</v>
      </c>
      <c r="G5">
        <v>189</v>
      </c>
      <c r="H5">
        <v>97</v>
      </c>
      <c r="I5">
        <v>70</v>
      </c>
      <c r="J5">
        <v>27</v>
      </c>
      <c r="K5">
        <v>0</v>
      </c>
      <c r="L5">
        <v>72.164948453608204</v>
      </c>
      <c r="M5">
        <v>27.8350515463917</v>
      </c>
      <c r="N5">
        <v>0</v>
      </c>
      <c r="O5">
        <v>0.18232906650015601</v>
      </c>
      <c r="P5">
        <v>0.379476017676872</v>
      </c>
      <c r="Q5">
        <v>0.45349450304922501</v>
      </c>
      <c r="R5">
        <v>90.576554747480301</v>
      </c>
      <c r="S5">
        <v>99.058102430885498</v>
      </c>
      <c r="T5">
        <v>85.362720957561507</v>
      </c>
      <c r="U5">
        <v>84.790363366652002</v>
      </c>
      <c r="V5">
        <v>0.57235759090953298</v>
      </c>
      <c r="W5">
        <v>0.88002805110888205</v>
      </c>
      <c r="X5">
        <v>0.874127457388165</v>
      </c>
      <c r="Y5">
        <v>5.9005937207168299E-3</v>
      </c>
      <c r="Z5">
        <v>8.2442336025548801</v>
      </c>
      <c r="AA5">
        <v>8.4992098995411103E-2</v>
      </c>
      <c r="AB5">
        <v>9.6578852103994404</v>
      </c>
      <c r="AC5">
        <v>0.94117647058823495</v>
      </c>
      <c r="AD5">
        <v>64</v>
      </c>
      <c r="AE5">
        <v>0.79310344827586199</v>
      </c>
      <c r="AF5">
        <v>23</v>
      </c>
      <c r="AG5">
        <v>0.20689655172413701</v>
      </c>
      <c r="AH5">
        <v>6</v>
      </c>
      <c r="AI5">
        <v>5.8823529411764698E-2</v>
      </c>
      <c r="AJ5">
        <v>4</v>
      </c>
      <c r="AK5">
        <v>0.73563218390804597</v>
      </c>
      <c r="AL5">
        <v>0.94117647058823495</v>
      </c>
      <c r="AM5">
        <v>0.825806451612903</v>
      </c>
      <c r="AN5">
        <v>0.22293064360147199</v>
      </c>
      <c r="AO5">
        <v>0.60775862068965503</v>
      </c>
      <c r="AP5">
        <v>0.75116564473136604</v>
      </c>
      <c r="AQ5">
        <v>0.72164948453608202</v>
      </c>
      <c r="AR5">
        <v>0.57357646222370895</v>
      </c>
      <c r="AS5">
        <v>0.42642353777629</v>
      </c>
      <c r="AT5">
        <v>0.27835051546391698</v>
      </c>
      <c r="AU5">
        <v>0.69508235572935095</v>
      </c>
      <c r="AV5">
        <v>0.72164948453608202</v>
      </c>
      <c r="AW5">
        <v>0.67090634672942595</v>
      </c>
      <c r="AX5">
        <v>0.22293064360147199</v>
      </c>
      <c r="AY5">
        <v>0.60775862068965503</v>
      </c>
      <c r="AZ5">
        <v>0.64445579543736498</v>
      </c>
      <c r="BA5">
        <v>0.56674937965260497</v>
      </c>
      <c r="BB5">
        <v>0.72164948453608202</v>
      </c>
      <c r="BC5">
        <v>2E-3</v>
      </c>
      <c r="BD5">
        <v>0</v>
      </c>
      <c r="BE5">
        <v>1.3029999999999999E-3</v>
      </c>
      <c r="BF5" s="1">
        <v>3.68E-4</v>
      </c>
      <c r="BG5">
        <v>1.3029999999999999</v>
      </c>
      <c r="BH5">
        <v>0.36799999999999999</v>
      </c>
      <c r="BI5">
        <v>5712</v>
      </c>
      <c r="BJ5">
        <v>23725</v>
      </c>
      <c r="BK5">
        <v>13697</v>
      </c>
      <c r="BL5">
        <v>100</v>
      </c>
      <c r="BM5">
        <v>100</v>
      </c>
      <c r="BN5" t="s">
        <v>75</v>
      </c>
      <c r="BO5">
        <v>6</v>
      </c>
      <c r="BP5">
        <v>4</v>
      </c>
      <c r="BQ5">
        <v>4</v>
      </c>
    </row>
    <row r="6" spans="1:69" x14ac:dyDescent="0.2">
      <c r="A6" t="s">
        <v>69</v>
      </c>
      <c r="B6">
        <v>5</v>
      </c>
      <c r="C6" t="s">
        <v>70</v>
      </c>
      <c r="D6" t="s">
        <v>71</v>
      </c>
      <c r="E6">
        <v>-2.17733168393644E+17</v>
      </c>
      <c r="F6" s="1">
        <v>20250406.221099999</v>
      </c>
      <c r="G6">
        <v>189</v>
      </c>
      <c r="H6">
        <v>97</v>
      </c>
      <c r="I6">
        <v>70</v>
      </c>
      <c r="J6">
        <v>27</v>
      </c>
      <c r="K6">
        <v>0</v>
      </c>
      <c r="L6">
        <v>72.164948453608204</v>
      </c>
      <c r="M6">
        <v>27.8350515463917</v>
      </c>
      <c r="N6">
        <v>0</v>
      </c>
      <c r="O6">
        <v>0.140466032162782</v>
      </c>
      <c r="P6">
        <v>0.36806555293385501</v>
      </c>
      <c r="Q6">
        <v>0.45360295857075</v>
      </c>
      <c r="R6">
        <v>87.853008235062205</v>
      </c>
      <c r="S6">
        <v>99.081792680906503</v>
      </c>
      <c r="T6">
        <v>85.362720957561507</v>
      </c>
      <c r="U6">
        <v>1155.2215141660599</v>
      </c>
      <c r="V6">
        <v>-1069.8587932084899</v>
      </c>
      <c r="W6">
        <v>0.88002805110888205</v>
      </c>
      <c r="X6">
        <v>11.9095001460418</v>
      </c>
      <c r="Y6">
        <v>-11.029472094932901</v>
      </c>
      <c r="Z6">
        <v>10.6790893878883</v>
      </c>
      <c r="AA6">
        <v>0.110093705029776</v>
      </c>
      <c r="AB6">
        <v>12.510249518870699</v>
      </c>
      <c r="AC6">
        <v>0.97058823529411697</v>
      </c>
      <c r="AD6">
        <v>66</v>
      </c>
      <c r="AE6">
        <v>0.86206896551724099</v>
      </c>
      <c r="AF6">
        <v>25</v>
      </c>
      <c r="AG6">
        <v>0.13793103448275801</v>
      </c>
      <c r="AH6">
        <v>4</v>
      </c>
      <c r="AI6">
        <v>2.94117647058823E-2</v>
      </c>
      <c r="AJ6">
        <v>2</v>
      </c>
      <c r="AK6">
        <v>0.72527472527472503</v>
      </c>
      <c r="AL6">
        <v>0.97058823529411697</v>
      </c>
      <c r="AM6">
        <v>0.83018867924528295</v>
      </c>
      <c r="AN6">
        <v>0.20623577199121401</v>
      </c>
      <c r="AO6">
        <v>0.56845841784989803</v>
      </c>
      <c r="AP6">
        <v>0.74210318988014501</v>
      </c>
      <c r="AQ6">
        <v>0.72164948453608202</v>
      </c>
      <c r="AR6">
        <v>0.61313021475920604</v>
      </c>
      <c r="AS6">
        <v>0.38686978524079302</v>
      </c>
      <c r="AT6">
        <v>0.27835051546391698</v>
      </c>
      <c r="AU6">
        <v>0.707752728371285</v>
      </c>
      <c r="AV6">
        <v>0.72164948453608202</v>
      </c>
      <c r="AW6">
        <v>0.65032372801289295</v>
      </c>
      <c r="AX6">
        <v>0.20623577199121401</v>
      </c>
      <c r="AY6">
        <v>0.56845841784989803</v>
      </c>
      <c r="AZ6">
        <v>0.63241577985932496</v>
      </c>
      <c r="BA6">
        <v>0.52938005390835496</v>
      </c>
      <c r="BB6">
        <v>0.72164948453608202</v>
      </c>
      <c r="BC6">
        <v>2E-3</v>
      </c>
      <c r="BD6">
        <v>0</v>
      </c>
      <c r="BE6" s="1">
        <v>9.8299999999999993E-4</v>
      </c>
      <c r="BF6" s="1">
        <v>3.9800000000000002E-4</v>
      </c>
      <c r="BG6">
        <v>0.98299999999999998</v>
      </c>
      <c r="BH6">
        <v>0.39800000000000002</v>
      </c>
      <c r="BI6">
        <v>7630</v>
      </c>
      <c r="BJ6">
        <v>23725</v>
      </c>
      <c r="BK6">
        <v>13697</v>
      </c>
      <c r="BL6">
        <v>98.9690721649484</v>
      </c>
      <c r="BM6">
        <v>97.422680412371093</v>
      </c>
      <c r="BN6" t="s">
        <v>76</v>
      </c>
      <c r="BO6">
        <v>17</v>
      </c>
      <c r="BP6">
        <v>13</v>
      </c>
      <c r="BQ6">
        <v>13</v>
      </c>
    </row>
    <row r="7" spans="1:69" x14ac:dyDescent="0.2">
      <c r="A7" t="s">
        <v>69</v>
      </c>
      <c r="B7">
        <v>6</v>
      </c>
      <c r="C7" t="s">
        <v>70</v>
      </c>
      <c r="D7" t="s">
        <v>71</v>
      </c>
      <c r="E7">
        <v>-2.17733168393644E+17</v>
      </c>
      <c r="F7" s="1">
        <v>20250406.221099999</v>
      </c>
      <c r="G7">
        <v>189</v>
      </c>
      <c r="H7">
        <v>97</v>
      </c>
      <c r="I7">
        <v>74</v>
      </c>
      <c r="J7">
        <v>23</v>
      </c>
      <c r="K7">
        <v>0</v>
      </c>
      <c r="L7">
        <v>76.288659793814404</v>
      </c>
      <c r="M7">
        <v>23.711340206185501</v>
      </c>
      <c r="N7">
        <v>0</v>
      </c>
      <c r="O7">
        <v>0.33581423042572101</v>
      </c>
      <c r="P7">
        <v>0.35194322981498599</v>
      </c>
      <c r="Q7">
        <v>0.43142390673163999</v>
      </c>
      <c r="R7">
        <v>84.004795397864498</v>
      </c>
      <c r="S7">
        <v>94.2371589000645</v>
      </c>
      <c r="T7">
        <v>85.362720957561507</v>
      </c>
      <c r="U7">
        <v>1148.6482483915099</v>
      </c>
      <c r="V7">
        <v>-1063.2855274339499</v>
      </c>
      <c r="W7">
        <v>0.88002805110888205</v>
      </c>
      <c r="X7">
        <v>11.8417345195001</v>
      </c>
      <c r="Y7">
        <v>-10.961706468391201</v>
      </c>
      <c r="Z7">
        <v>14.5783003239734</v>
      </c>
      <c r="AA7">
        <v>0.150291755917252</v>
      </c>
      <c r="AB7">
        <v>17.078064242142801</v>
      </c>
      <c r="AC7">
        <v>0.94117647058823495</v>
      </c>
      <c r="AD7">
        <v>64</v>
      </c>
      <c r="AE7">
        <v>0.65517241379310298</v>
      </c>
      <c r="AF7">
        <v>19</v>
      </c>
      <c r="AG7">
        <v>0.34482758620689602</v>
      </c>
      <c r="AH7">
        <v>10</v>
      </c>
      <c r="AI7">
        <v>5.8823529411764698E-2</v>
      </c>
      <c r="AJ7">
        <v>4</v>
      </c>
      <c r="AK7">
        <v>0.77108433734939696</v>
      </c>
      <c r="AL7">
        <v>0.94117647058823495</v>
      </c>
      <c r="AM7">
        <v>0.84768211920529801</v>
      </c>
      <c r="AN7">
        <v>0.37258261340876397</v>
      </c>
      <c r="AO7">
        <v>0.66353955375253504</v>
      </c>
      <c r="AP7">
        <v>0.78163328425215295</v>
      </c>
      <c r="AQ7">
        <v>0.76288659793814395</v>
      </c>
      <c r="AR7">
        <v>0.47688254114301198</v>
      </c>
      <c r="AS7">
        <v>0.52311745885698702</v>
      </c>
      <c r="AT7">
        <v>0.23711340206185499</v>
      </c>
      <c r="AU7">
        <v>0.75410330571180095</v>
      </c>
      <c r="AV7">
        <v>0.76288659793814395</v>
      </c>
      <c r="AW7">
        <v>0.73330676493797398</v>
      </c>
      <c r="AX7">
        <v>0.37258261340876397</v>
      </c>
      <c r="AY7">
        <v>0.66353955375253504</v>
      </c>
      <c r="AZ7">
        <v>0.69009486105740303</v>
      </c>
      <c r="BA7">
        <v>0.65639919913753197</v>
      </c>
      <c r="BB7">
        <v>0.76288659793814395</v>
      </c>
      <c r="BC7">
        <v>1E-3</v>
      </c>
      <c r="BD7">
        <v>0</v>
      </c>
      <c r="BE7" s="1">
        <v>8.3499999999999905E-4</v>
      </c>
      <c r="BF7" s="1">
        <v>3.1399999999999999E-4</v>
      </c>
      <c r="BG7">
        <v>0.83499999999999996</v>
      </c>
      <c r="BH7">
        <v>0.314</v>
      </c>
      <c r="BI7">
        <v>8310</v>
      </c>
      <c r="BJ7">
        <v>23725</v>
      </c>
      <c r="BK7">
        <v>13697</v>
      </c>
      <c r="BL7">
        <v>98.9690721649484</v>
      </c>
      <c r="BM7">
        <v>98.453608247422594</v>
      </c>
      <c r="BN7" t="s">
        <v>77</v>
      </c>
      <c r="BO7">
        <v>21</v>
      </c>
      <c r="BP7">
        <v>17</v>
      </c>
      <c r="BQ7">
        <v>17</v>
      </c>
    </row>
    <row r="8" spans="1:69" x14ac:dyDescent="0.2">
      <c r="A8" t="s">
        <v>69</v>
      </c>
      <c r="B8">
        <v>7</v>
      </c>
      <c r="C8" t="s">
        <v>70</v>
      </c>
      <c r="D8" t="s">
        <v>71</v>
      </c>
      <c r="E8">
        <v>-2.17733168393644E+17</v>
      </c>
      <c r="F8" s="1">
        <v>20250406.221099999</v>
      </c>
      <c r="G8">
        <v>188</v>
      </c>
      <c r="H8">
        <v>98</v>
      </c>
      <c r="I8">
        <v>72</v>
      </c>
      <c r="J8">
        <v>26</v>
      </c>
      <c r="K8">
        <v>0</v>
      </c>
      <c r="L8">
        <v>73.469387755102005</v>
      </c>
      <c r="M8">
        <v>26.530612244897899</v>
      </c>
      <c r="N8">
        <v>0</v>
      </c>
      <c r="O8">
        <v>0.20424734540911901</v>
      </c>
      <c r="P8">
        <v>0.36811050950992602</v>
      </c>
      <c r="Q8">
        <v>0.44382470497655502</v>
      </c>
      <c r="R8">
        <v>87.987390077982297</v>
      </c>
      <c r="S8">
        <v>97.229184245164902</v>
      </c>
      <c r="T8">
        <v>85.877551156073196</v>
      </c>
      <c r="U8">
        <v>3292.9176171396298</v>
      </c>
      <c r="V8">
        <v>-3207.04006598355</v>
      </c>
      <c r="W8">
        <v>0.87630154240891001</v>
      </c>
      <c r="X8">
        <v>33.601200174894203</v>
      </c>
      <c r="Y8">
        <v>-32.724898632485299</v>
      </c>
      <c r="Z8">
        <v>10.665920190754299</v>
      </c>
      <c r="AA8">
        <v>0.10883592031382</v>
      </c>
      <c r="AB8">
        <v>12.419916552313101</v>
      </c>
      <c r="AC8">
        <v>0.95652173913043403</v>
      </c>
      <c r="AD8">
        <v>66</v>
      </c>
      <c r="AE8">
        <v>0.79310344827586199</v>
      </c>
      <c r="AF8">
        <v>23</v>
      </c>
      <c r="AG8">
        <v>0.20689655172413701</v>
      </c>
      <c r="AH8">
        <v>6</v>
      </c>
      <c r="AI8">
        <v>4.3478260869565202E-2</v>
      </c>
      <c r="AJ8">
        <v>3</v>
      </c>
      <c r="AK8">
        <v>0.74157303370786498</v>
      </c>
      <c r="AL8">
        <v>0.95652173913043403</v>
      </c>
      <c r="AM8">
        <v>0.835443037974683</v>
      </c>
      <c r="AN8">
        <v>0.25829021292760701</v>
      </c>
      <c r="AO8">
        <v>0.65942028985507195</v>
      </c>
      <c r="AP8">
        <v>0.78089044227947702</v>
      </c>
      <c r="AQ8">
        <v>0.73469387755102</v>
      </c>
      <c r="AR8">
        <v>0.57127558669644696</v>
      </c>
      <c r="AS8">
        <v>0.42872441330355199</v>
      </c>
      <c r="AT8">
        <v>0.265306122448979</v>
      </c>
      <c r="AU8">
        <v>0.71940686386914299</v>
      </c>
      <c r="AV8">
        <v>0.73469387755102</v>
      </c>
      <c r="AW8">
        <v>0.68166800364382896</v>
      </c>
      <c r="AX8">
        <v>0.25829021292760701</v>
      </c>
      <c r="AY8">
        <v>0.65942028985507195</v>
      </c>
      <c r="AZ8">
        <v>0.67830238831955203</v>
      </c>
      <c r="BA8">
        <v>0.57561625582944698</v>
      </c>
      <c r="BB8">
        <v>0.73469387755102</v>
      </c>
      <c r="BC8">
        <v>0</v>
      </c>
      <c r="BD8">
        <v>1E-3</v>
      </c>
      <c r="BE8" s="1">
        <v>6.6E-4</v>
      </c>
      <c r="BF8" s="1">
        <v>3.1199999999999999E-4</v>
      </c>
      <c r="BG8">
        <v>0.66</v>
      </c>
      <c r="BH8">
        <v>0.312</v>
      </c>
      <c r="BI8">
        <v>8990</v>
      </c>
      <c r="BJ8">
        <v>23616</v>
      </c>
      <c r="BK8">
        <v>13806</v>
      </c>
      <c r="BL8">
        <v>96.938775510203996</v>
      </c>
      <c r="BM8">
        <v>96.428571428571402</v>
      </c>
      <c r="BN8" t="s">
        <v>78</v>
      </c>
      <c r="BO8">
        <v>25</v>
      </c>
      <c r="BP8">
        <v>21</v>
      </c>
      <c r="BQ8">
        <v>21</v>
      </c>
    </row>
    <row r="9" spans="1:69" x14ac:dyDescent="0.2">
      <c r="A9" t="s">
        <v>69</v>
      </c>
      <c r="B9">
        <v>8</v>
      </c>
      <c r="C9" t="s">
        <v>70</v>
      </c>
      <c r="D9" t="s">
        <v>71</v>
      </c>
      <c r="E9">
        <v>-2.17733168393644E+17</v>
      </c>
      <c r="F9" s="1">
        <v>20250406.221099999</v>
      </c>
      <c r="G9">
        <v>188</v>
      </c>
      <c r="H9">
        <v>98</v>
      </c>
      <c r="I9">
        <v>69</v>
      </c>
      <c r="J9">
        <v>29</v>
      </c>
      <c r="K9">
        <v>0</v>
      </c>
      <c r="L9">
        <v>70.408163265306101</v>
      </c>
      <c r="M9">
        <v>29.5918367346938</v>
      </c>
      <c r="N9">
        <v>0</v>
      </c>
      <c r="O9">
        <v>0.219659527732015</v>
      </c>
      <c r="P9">
        <v>0.38218374422609802</v>
      </c>
      <c r="Q9">
        <v>0.48205377853749298</v>
      </c>
      <c r="R9">
        <v>91.351236424774797</v>
      </c>
      <c r="S9">
        <v>105.60407098558299</v>
      </c>
      <c r="T9">
        <v>85.877551156073196</v>
      </c>
      <c r="U9">
        <v>2235.8060892911999</v>
      </c>
      <c r="V9">
        <v>-2149.9285381351301</v>
      </c>
      <c r="W9">
        <v>0.87630154240891001</v>
      </c>
      <c r="X9">
        <v>22.814347849910199</v>
      </c>
      <c r="Y9">
        <v>-21.938046307501299</v>
      </c>
      <c r="Z9">
        <v>5.29809366692922</v>
      </c>
      <c r="AA9">
        <v>5.4062180274787999E-2</v>
      </c>
      <c r="AB9">
        <v>6.1693581100146897</v>
      </c>
      <c r="AC9">
        <v>0.85507246376811596</v>
      </c>
      <c r="AD9">
        <v>59</v>
      </c>
      <c r="AE9">
        <v>0.65517241379310298</v>
      </c>
      <c r="AF9">
        <v>19</v>
      </c>
      <c r="AG9">
        <v>0.34482758620689602</v>
      </c>
      <c r="AH9">
        <v>10</v>
      </c>
      <c r="AI9">
        <v>0.14492753623188401</v>
      </c>
      <c r="AJ9">
        <v>10</v>
      </c>
      <c r="AK9">
        <v>0.75641025641025605</v>
      </c>
      <c r="AL9">
        <v>0.85507246376811596</v>
      </c>
      <c r="AM9">
        <v>0.80272108843537404</v>
      </c>
      <c r="AN9">
        <v>0.226398814198564</v>
      </c>
      <c r="AO9">
        <v>0.50324837581209303</v>
      </c>
      <c r="AP9">
        <v>0.698698490268581</v>
      </c>
      <c r="AQ9">
        <v>0.70408163265306101</v>
      </c>
      <c r="AR9">
        <v>0.50418158267804802</v>
      </c>
      <c r="AS9">
        <v>0.49581841732195098</v>
      </c>
      <c r="AT9">
        <v>0.29591836734693799</v>
      </c>
      <c r="AU9">
        <v>0.68053375196232302</v>
      </c>
      <c r="AV9">
        <v>0.70408163265306101</v>
      </c>
      <c r="AW9">
        <v>0.68596418159100303</v>
      </c>
      <c r="AX9">
        <v>0.226398814198564</v>
      </c>
      <c r="AY9">
        <v>0.50324837581209303</v>
      </c>
      <c r="AZ9">
        <v>0.60394826110609701</v>
      </c>
      <c r="BA9">
        <v>0.60544217687074797</v>
      </c>
      <c r="BB9">
        <v>0.70408163265306101</v>
      </c>
      <c r="BC9">
        <v>0</v>
      </c>
      <c r="BD9">
        <v>1E-3</v>
      </c>
      <c r="BE9" s="1">
        <v>6.0899999999999995E-4</v>
      </c>
      <c r="BF9" s="1">
        <v>3.21E-4</v>
      </c>
      <c r="BG9">
        <v>0.60899999999999999</v>
      </c>
      <c r="BH9">
        <v>0.32100000000000001</v>
      </c>
      <c r="BI9">
        <v>8140</v>
      </c>
      <c r="BJ9">
        <v>23616</v>
      </c>
      <c r="BK9">
        <v>13806</v>
      </c>
      <c r="BL9">
        <v>97.959183673469298</v>
      </c>
      <c r="BM9">
        <v>98.469387755102005</v>
      </c>
      <c r="BN9" t="s">
        <v>79</v>
      </c>
      <c r="BO9">
        <v>20</v>
      </c>
      <c r="BP9">
        <v>16</v>
      </c>
      <c r="BQ9">
        <v>16</v>
      </c>
    </row>
    <row r="10" spans="1:69" x14ac:dyDescent="0.2">
      <c r="A10" t="s">
        <v>69</v>
      </c>
      <c r="B10">
        <v>9</v>
      </c>
      <c r="C10" t="s">
        <v>70</v>
      </c>
      <c r="D10" t="s">
        <v>71</v>
      </c>
      <c r="E10">
        <v>-2.17733168393644E+17</v>
      </c>
      <c r="F10" s="1">
        <v>20250406.221099999</v>
      </c>
      <c r="G10">
        <v>189</v>
      </c>
      <c r="H10">
        <v>97</v>
      </c>
      <c r="I10">
        <v>71</v>
      </c>
      <c r="J10">
        <v>26</v>
      </c>
      <c r="K10">
        <v>0</v>
      </c>
      <c r="L10">
        <v>73.195876288659704</v>
      </c>
      <c r="M10">
        <v>26.8041237113402</v>
      </c>
      <c r="N10">
        <v>0</v>
      </c>
      <c r="O10">
        <v>0.20290771175726899</v>
      </c>
      <c r="P10">
        <v>0.37523825114903597</v>
      </c>
      <c r="Q10">
        <v>0.44082485251130099</v>
      </c>
      <c r="R10">
        <v>89.565048686397901</v>
      </c>
      <c r="S10">
        <v>96.290634396960996</v>
      </c>
      <c r="T10">
        <v>85.362720957561507</v>
      </c>
      <c r="U10">
        <v>80.749430743778007</v>
      </c>
      <c r="V10">
        <v>4.6132902137835003</v>
      </c>
      <c r="W10">
        <v>0.88002805110888205</v>
      </c>
      <c r="X10">
        <v>0.83246835818327902</v>
      </c>
      <c r="Y10">
        <v>4.7559692925602998E-2</v>
      </c>
      <c r="Z10">
        <v>9.51918876209049</v>
      </c>
      <c r="AA10">
        <v>9.8135966619489604E-2</v>
      </c>
      <c r="AB10">
        <v>11.151458921773299</v>
      </c>
      <c r="AC10">
        <v>0.95588235294117596</v>
      </c>
      <c r="AD10">
        <v>65</v>
      </c>
      <c r="AE10">
        <v>0.79310344827586199</v>
      </c>
      <c r="AF10">
        <v>23</v>
      </c>
      <c r="AG10">
        <v>0.20689655172413701</v>
      </c>
      <c r="AH10">
        <v>6</v>
      </c>
      <c r="AI10">
        <v>4.4117647058823498E-2</v>
      </c>
      <c r="AJ10">
        <v>3</v>
      </c>
      <c r="AK10">
        <v>0.73863636363636298</v>
      </c>
      <c r="AL10">
        <v>0.95588235294117596</v>
      </c>
      <c r="AM10">
        <v>0.83333333333333304</v>
      </c>
      <c r="AN10">
        <v>0.25685556900768097</v>
      </c>
      <c r="AO10">
        <v>0.60243407707910701</v>
      </c>
      <c r="AP10">
        <v>0.74751760288772695</v>
      </c>
      <c r="AQ10">
        <v>0.731958762886597</v>
      </c>
      <c r="AR10">
        <v>0.56917985822128303</v>
      </c>
      <c r="AS10">
        <v>0.43082014177871603</v>
      </c>
      <c r="AT10">
        <v>0.268041237113402</v>
      </c>
      <c r="AU10">
        <v>0.71711965010933998</v>
      </c>
      <c r="AV10">
        <v>0.731958762886597</v>
      </c>
      <c r="AW10">
        <v>0.67860372580936801</v>
      </c>
      <c r="AX10">
        <v>0.25685556900768097</v>
      </c>
      <c r="AY10">
        <v>0.60243407707910701</v>
      </c>
      <c r="AZ10">
        <v>0.64488077920125297</v>
      </c>
      <c r="BA10">
        <v>0.57456140350877105</v>
      </c>
      <c r="BB10">
        <v>0.731958762886597</v>
      </c>
      <c r="BC10">
        <v>1E-3</v>
      </c>
      <c r="BD10">
        <v>0</v>
      </c>
      <c r="BE10" s="1">
        <v>6.3100000000000005E-4</v>
      </c>
      <c r="BF10" s="1">
        <v>1.6699999999999999E-4</v>
      </c>
      <c r="BG10">
        <v>0.63100000000000001</v>
      </c>
      <c r="BH10">
        <v>0.16700000000000001</v>
      </c>
      <c r="BI10">
        <v>5542</v>
      </c>
      <c r="BJ10">
        <v>23725</v>
      </c>
      <c r="BK10">
        <v>13697</v>
      </c>
      <c r="BL10">
        <v>100</v>
      </c>
      <c r="BM10">
        <v>100</v>
      </c>
      <c r="BN10" t="s">
        <v>80</v>
      </c>
      <c r="BO10">
        <v>5</v>
      </c>
      <c r="BP10">
        <v>3</v>
      </c>
      <c r="BQ10">
        <v>3</v>
      </c>
    </row>
    <row r="11" spans="1:69" x14ac:dyDescent="0.2">
      <c r="A11" t="s">
        <v>69</v>
      </c>
      <c r="B11">
        <v>10</v>
      </c>
      <c r="C11" t="s">
        <v>70</v>
      </c>
      <c r="D11" t="s">
        <v>71</v>
      </c>
      <c r="E11">
        <v>-2.17733168393644E+17</v>
      </c>
      <c r="F11" s="1">
        <v>20250406.221099999</v>
      </c>
      <c r="G11">
        <v>188</v>
      </c>
      <c r="H11">
        <v>98</v>
      </c>
      <c r="I11">
        <v>72</v>
      </c>
      <c r="J11">
        <v>26</v>
      </c>
      <c r="K11">
        <v>0</v>
      </c>
      <c r="L11">
        <v>73.469387755102005</v>
      </c>
      <c r="M11">
        <v>26.530612244897899</v>
      </c>
      <c r="N11">
        <v>0</v>
      </c>
      <c r="O11">
        <v>0.20424734540911901</v>
      </c>
      <c r="P11">
        <v>0.36089342502905802</v>
      </c>
      <c r="Q11">
        <v>0.44975255594004598</v>
      </c>
      <c r="R11">
        <v>86.262330860604195</v>
      </c>
      <c r="S11">
        <v>98.527805315701201</v>
      </c>
      <c r="T11">
        <v>85.877551156073196</v>
      </c>
      <c r="U11">
        <v>3294.6712142296301</v>
      </c>
      <c r="V11">
        <v>-3208.7936630735599</v>
      </c>
      <c r="W11">
        <v>0.87630154240891101</v>
      </c>
      <c r="X11">
        <v>33.619094022751298</v>
      </c>
      <c r="Y11">
        <v>-32.742792480342402</v>
      </c>
      <c r="Z11">
        <v>12.3567367420448</v>
      </c>
      <c r="AA11">
        <v>0.12608915042902899</v>
      </c>
      <c r="AB11">
        <v>14.388785632216999</v>
      </c>
      <c r="AC11">
        <v>0.95652173913043403</v>
      </c>
      <c r="AD11">
        <v>66</v>
      </c>
      <c r="AE11">
        <v>0.79310344827586199</v>
      </c>
      <c r="AF11">
        <v>23</v>
      </c>
      <c r="AG11">
        <v>0.20689655172413701</v>
      </c>
      <c r="AH11">
        <v>6</v>
      </c>
      <c r="AI11">
        <v>4.3478260869565202E-2</v>
      </c>
      <c r="AJ11">
        <v>3</v>
      </c>
      <c r="AK11">
        <v>0.74157303370786498</v>
      </c>
      <c r="AL11">
        <v>0.95652173913043403</v>
      </c>
      <c r="AM11">
        <v>0.835443037974683</v>
      </c>
      <c r="AN11">
        <v>0.25829021292760701</v>
      </c>
      <c r="AO11">
        <v>0.60519740129934996</v>
      </c>
      <c r="AP11">
        <v>0.74547574338127498</v>
      </c>
      <c r="AQ11">
        <v>0.73469387755102</v>
      </c>
      <c r="AR11">
        <v>0.57127558669644696</v>
      </c>
      <c r="AS11">
        <v>0.42872441330355199</v>
      </c>
      <c r="AT11">
        <v>0.265306122448979</v>
      </c>
      <c r="AU11">
        <v>0.71940686386914299</v>
      </c>
      <c r="AV11">
        <v>0.73469387755102</v>
      </c>
      <c r="AW11">
        <v>0.68166800364382896</v>
      </c>
      <c r="AX11">
        <v>0.25829021292760701</v>
      </c>
      <c r="AY11">
        <v>0.60519740129934996</v>
      </c>
      <c r="AZ11">
        <v>0.64422559721563</v>
      </c>
      <c r="BA11">
        <v>0.57561625582944698</v>
      </c>
      <c r="BB11">
        <v>0.73469387755102</v>
      </c>
      <c r="BC11">
        <v>1E-3</v>
      </c>
      <c r="BD11">
        <v>0</v>
      </c>
      <c r="BE11" s="1">
        <v>6.2200000000000005E-4</v>
      </c>
      <c r="BF11" s="1">
        <v>1.02E-4</v>
      </c>
      <c r="BG11">
        <v>0.622</v>
      </c>
      <c r="BH11">
        <v>0.10199999999999999</v>
      </c>
      <c r="BI11">
        <v>7630</v>
      </c>
      <c r="BJ11">
        <v>23616</v>
      </c>
      <c r="BK11">
        <v>13806</v>
      </c>
      <c r="BL11">
        <v>96.938775510203996</v>
      </c>
      <c r="BM11">
        <v>95.408163265306101</v>
      </c>
      <c r="BN11" t="s">
        <v>76</v>
      </c>
      <c r="BO11">
        <v>17</v>
      </c>
      <c r="BP11">
        <v>13</v>
      </c>
      <c r="BQ11">
        <v>13</v>
      </c>
    </row>
    <row r="12" spans="1:69" x14ac:dyDescent="0.2">
      <c r="A12" t="s">
        <v>69</v>
      </c>
      <c r="B12">
        <v>11</v>
      </c>
      <c r="C12" t="s">
        <v>70</v>
      </c>
      <c r="D12" t="s">
        <v>71</v>
      </c>
      <c r="E12">
        <v>-2.17733168393644E+17</v>
      </c>
      <c r="F12" s="1">
        <v>20250406.221099999</v>
      </c>
      <c r="G12">
        <v>189</v>
      </c>
      <c r="H12">
        <v>97</v>
      </c>
      <c r="I12">
        <v>67</v>
      </c>
      <c r="J12">
        <v>30</v>
      </c>
      <c r="K12">
        <v>0</v>
      </c>
      <c r="L12">
        <v>69.072164948453604</v>
      </c>
      <c r="M12">
        <v>30.9278350515463</v>
      </c>
      <c r="N12">
        <v>0</v>
      </c>
      <c r="O12">
        <v>0.181204276871131</v>
      </c>
      <c r="P12">
        <v>0.36882608753562901</v>
      </c>
      <c r="Q12">
        <v>0.46783913083296602</v>
      </c>
      <c r="R12">
        <v>88.034539084934394</v>
      </c>
      <c r="S12">
        <v>102.191440539242</v>
      </c>
      <c r="T12">
        <v>85.362720957561507</v>
      </c>
      <c r="U12">
        <v>1159.69077878094</v>
      </c>
      <c r="V12">
        <v>-1074.32805782338</v>
      </c>
      <c r="W12">
        <v>0.88002805110888105</v>
      </c>
      <c r="X12">
        <v>11.9555750389788</v>
      </c>
      <c r="Y12">
        <v>-11.075546987869901</v>
      </c>
      <c r="Z12">
        <v>8.6441882026811694</v>
      </c>
      <c r="AA12">
        <v>8.9115342295682201E-2</v>
      </c>
      <c r="AB12">
        <v>10.126420650272699</v>
      </c>
      <c r="AC12">
        <v>0.85294117647058798</v>
      </c>
      <c r="AD12">
        <v>58</v>
      </c>
      <c r="AE12">
        <v>0.68965517241379304</v>
      </c>
      <c r="AF12">
        <v>20</v>
      </c>
      <c r="AG12">
        <v>0.31034482758620602</v>
      </c>
      <c r="AH12">
        <v>9</v>
      </c>
      <c r="AI12">
        <v>0.14705882352941099</v>
      </c>
      <c r="AJ12">
        <v>10</v>
      </c>
      <c r="AK12">
        <v>0.74358974358974295</v>
      </c>
      <c r="AL12">
        <v>0.85294117647058798</v>
      </c>
      <c r="AM12">
        <v>0.79452054794520499</v>
      </c>
      <c r="AN12">
        <v>0.18835550364465201</v>
      </c>
      <c r="AO12">
        <v>0.58924949290060802</v>
      </c>
      <c r="AP12">
        <v>0.74994735898464604</v>
      </c>
      <c r="AQ12">
        <v>0.69072164948453596</v>
      </c>
      <c r="AR12">
        <v>0.52743564542774102</v>
      </c>
      <c r="AS12">
        <v>0.47256435457225898</v>
      </c>
      <c r="AT12">
        <v>0.30927835051546299</v>
      </c>
      <c r="AU12">
        <v>0.66289633679758397</v>
      </c>
      <c r="AV12">
        <v>0.69072164948453596</v>
      </c>
      <c r="AW12">
        <v>0.66909687897189596</v>
      </c>
      <c r="AX12">
        <v>0.18835550364465201</v>
      </c>
      <c r="AY12">
        <v>0.58924949290060802</v>
      </c>
      <c r="AZ12">
        <v>0.64911996648599302</v>
      </c>
      <c r="BA12">
        <v>0.584760273972602</v>
      </c>
      <c r="BB12">
        <v>0.69072164948453596</v>
      </c>
      <c r="BC12">
        <v>0</v>
      </c>
      <c r="BD12">
        <v>0</v>
      </c>
      <c r="BE12" s="1">
        <v>3.5299999999999899E-4</v>
      </c>
      <c r="BF12" s="1">
        <v>8.5999999999999895E-5</v>
      </c>
      <c r="BG12">
        <v>0.35299999999999998</v>
      </c>
      <c r="BH12">
        <v>8.5999999999999993E-2</v>
      </c>
      <c r="BI12">
        <v>9014</v>
      </c>
      <c r="BJ12">
        <v>23725</v>
      </c>
      <c r="BK12">
        <v>13697</v>
      </c>
      <c r="BL12">
        <v>98.9690721649484</v>
      </c>
      <c r="BM12">
        <v>97.422680412371093</v>
      </c>
      <c r="BN12" t="s">
        <v>81</v>
      </c>
      <c r="BO12">
        <v>25</v>
      </c>
      <c r="BP12">
        <v>20</v>
      </c>
      <c r="BQ12">
        <v>20</v>
      </c>
    </row>
    <row r="13" spans="1:69" x14ac:dyDescent="0.2">
      <c r="A13" t="s">
        <v>69</v>
      </c>
      <c r="B13">
        <v>12</v>
      </c>
      <c r="C13" t="s">
        <v>70</v>
      </c>
      <c r="D13" t="s">
        <v>71</v>
      </c>
      <c r="E13">
        <v>-2.17733168393644E+17</v>
      </c>
      <c r="F13" s="1">
        <v>20250406.221099999</v>
      </c>
      <c r="G13">
        <v>189</v>
      </c>
      <c r="H13">
        <v>97</v>
      </c>
      <c r="I13">
        <v>73</v>
      </c>
      <c r="J13">
        <v>24</v>
      </c>
      <c r="K13">
        <v>0</v>
      </c>
      <c r="L13">
        <v>75.257731958762804</v>
      </c>
      <c r="M13">
        <v>24.7422680412371</v>
      </c>
      <c r="N13">
        <v>0</v>
      </c>
      <c r="O13">
        <v>0.29879518072289102</v>
      </c>
      <c r="P13">
        <v>0.37358239035656898</v>
      </c>
      <c r="Q13">
        <v>0.42827986866124002</v>
      </c>
      <c r="R13">
        <v>89.169813786860999</v>
      </c>
      <c r="S13">
        <v>93.550397664525207</v>
      </c>
      <c r="T13">
        <v>85.362720957561507</v>
      </c>
      <c r="U13">
        <v>77.333032234235105</v>
      </c>
      <c r="V13">
        <v>8.02968872332643</v>
      </c>
      <c r="W13">
        <v>0.88002805110888205</v>
      </c>
      <c r="X13">
        <v>0.79724775499211398</v>
      </c>
      <c r="Y13">
        <v>8.2780296116767293E-2</v>
      </c>
      <c r="Z13">
        <v>10.724292202077599</v>
      </c>
      <c r="AA13">
        <v>0.11055971342348</v>
      </c>
      <c r="AB13">
        <v>12.5632033301858</v>
      </c>
      <c r="AC13">
        <v>0.94117647058823495</v>
      </c>
      <c r="AD13">
        <v>64</v>
      </c>
      <c r="AE13">
        <v>0.68965517241379304</v>
      </c>
      <c r="AF13">
        <v>20</v>
      </c>
      <c r="AG13">
        <v>0.31034482758620602</v>
      </c>
      <c r="AH13">
        <v>9</v>
      </c>
      <c r="AI13">
        <v>5.8823529411764698E-2</v>
      </c>
      <c r="AJ13">
        <v>4</v>
      </c>
      <c r="AK13">
        <v>0.76190476190476097</v>
      </c>
      <c r="AL13">
        <v>0.94117647058823495</v>
      </c>
      <c r="AM13">
        <v>0.84210526315789402</v>
      </c>
      <c r="AN13">
        <v>0.33800015699776798</v>
      </c>
      <c r="AO13">
        <v>0.65415821501014204</v>
      </c>
      <c r="AP13">
        <v>0.77360278694420603</v>
      </c>
      <c r="AQ13">
        <v>0.75257731958762797</v>
      </c>
      <c r="AR13">
        <v>0.50105602141318595</v>
      </c>
      <c r="AS13">
        <v>0.498943978586813</v>
      </c>
      <c r="AT13">
        <v>0.247422680412371</v>
      </c>
      <c r="AU13">
        <v>0.74109739058192603</v>
      </c>
      <c r="AV13">
        <v>0.75257731958762797</v>
      </c>
      <c r="AW13">
        <v>0.718471436322765</v>
      </c>
      <c r="AX13">
        <v>0.33800015699776798</v>
      </c>
      <c r="AY13">
        <v>0.65415821501014204</v>
      </c>
      <c r="AZ13">
        <v>0.67750755638947802</v>
      </c>
      <c r="BA13">
        <v>0.63533834586466098</v>
      </c>
      <c r="BB13">
        <v>0.75257731958762797</v>
      </c>
      <c r="BC13">
        <v>0</v>
      </c>
      <c r="BD13">
        <v>0</v>
      </c>
      <c r="BE13" s="1">
        <v>5.1800000000000001E-4</v>
      </c>
      <c r="BF13" s="1">
        <v>7.7000000000000001E-5</v>
      </c>
      <c r="BG13">
        <v>0.51800000000000002</v>
      </c>
      <c r="BH13">
        <v>7.6999999999999999E-2</v>
      </c>
      <c r="BI13">
        <v>5542</v>
      </c>
      <c r="BJ13">
        <v>23725</v>
      </c>
      <c r="BK13">
        <v>13697</v>
      </c>
      <c r="BL13">
        <v>100</v>
      </c>
      <c r="BM13">
        <v>100</v>
      </c>
      <c r="BN13" t="s">
        <v>80</v>
      </c>
      <c r="BO13">
        <v>5</v>
      </c>
      <c r="BP13">
        <v>3</v>
      </c>
      <c r="BQ13">
        <v>3</v>
      </c>
    </row>
    <row r="14" spans="1:69" x14ac:dyDescent="0.2">
      <c r="A14" t="s">
        <v>69</v>
      </c>
      <c r="B14">
        <v>13</v>
      </c>
      <c r="C14" t="s">
        <v>70</v>
      </c>
      <c r="D14" t="s">
        <v>71</v>
      </c>
      <c r="E14">
        <v>-2.17733168393644E+17</v>
      </c>
      <c r="F14" s="1">
        <v>20250406.221099999</v>
      </c>
      <c r="G14">
        <v>189</v>
      </c>
      <c r="H14">
        <v>97</v>
      </c>
      <c r="I14">
        <v>65</v>
      </c>
      <c r="J14">
        <v>32</v>
      </c>
      <c r="K14">
        <v>0</v>
      </c>
      <c r="L14">
        <v>67.010309278350505</v>
      </c>
      <c r="M14">
        <v>32.989690721649403</v>
      </c>
      <c r="N14">
        <v>0</v>
      </c>
      <c r="O14">
        <v>0.126617895329206</v>
      </c>
      <c r="P14">
        <v>0.39571898746430401</v>
      </c>
      <c r="Q14">
        <v>0.494937424717387</v>
      </c>
      <c r="R14">
        <v>94.453564554897795</v>
      </c>
      <c r="S14">
        <v>108.110598441392</v>
      </c>
      <c r="T14">
        <v>85.362720957561507</v>
      </c>
      <c r="U14">
        <v>4378.9351229600397</v>
      </c>
      <c r="V14">
        <v>-4293.57240200248</v>
      </c>
      <c r="W14">
        <v>0.88002805110888205</v>
      </c>
      <c r="X14">
        <v>45.143661061443701</v>
      </c>
      <c r="Y14">
        <v>-44.2636330103348</v>
      </c>
      <c r="Z14">
        <v>3.1621811079278799</v>
      </c>
      <c r="AA14">
        <v>3.2599805236369898E-2</v>
      </c>
      <c r="AB14">
        <v>3.7044052397298501</v>
      </c>
      <c r="AC14">
        <v>0.83823529411764697</v>
      </c>
      <c r="AD14">
        <v>57</v>
      </c>
      <c r="AE14">
        <v>0.72413793103448199</v>
      </c>
      <c r="AF14">
        <v>21</v>
      </c>
      <c r="AG14">
        <v>0.27586206896551702</v>
      </c>
      <c r="AH14">
        <v>8</v>
      </c>
      <c r="AI14">
        <v>0.16176470588235201</v>
      </c>
      <c r="AJ14">
        <v>11</v>
      </c>
      <c r="AK14">
        <v>0.73076923076922995</v>
      </c>
      <c r="AL14">
        <v>0.83823529411764697</v>
      </c>
      <c r="AM14">
        <v>0.78082191780821897</v>
      </c>
      <c r="AN14">
        <v>0.131614870559151</v>
      </c>
      <c r="AO14">
        <v>0.54868154158214999</v>
      </c>
      <c r="AP14">
        <v>0.725426914919724</v>
      </c>
      <c r="AQ14">
        <v>0.67010309278350499</v>
      </c>
      <c r="AR14">
        <v>0.55600572970034001</v>
      </c>
      <c r="AS14">
        <v>0.44399427029965899</v>
      </c>
      <c r="AT14">
        <v>0.32989690721649401</v>
      </c>
      <c r="AU14">
        <v>0.63817354647522795</v>
      </c>
      <c r="AV14">
        <v>0.67010309278350499</v>
      </c>
      <c r="AW14">
        <v>0.64703667090335604</v>
      </c>
      <c r="AX14">
        <v>0.131614870559151</v>
      </c>
      <c r="AY14">
        <v>0.54868154158214999</v>
      </c>
      <c r="AZ14">
        <v>0.617240332892246</v>
      </c>
      <c r="BA14">
        <v>0.557077625570776</v>
      </c>
      <c r="BB14">
        <v>0.67010309278350499</v>
      </c>
      <c r="BC14">
        <v>0</v>
      </c>
      <c r="BD14">
        <v>0</v>
      </c>
      <c r="BE14" s="1">
        <v>3.7300000000000001E-4</v>
      </c>
      <c r="BF14" s="1">
        <v>1.4199999999999901E-4</v>
      </c>
      <c r="BG14">
        <v>0.373</v>
      </c>
      <c r="BH14">
        <v>0.14199999999999999</v>
      </c>
      <c r="BI14">
        <v>8990</v>
      </c>
      <c r="BJ14">
        <v>23725</v>
      </c>
      <c r="BK14">
        <v>13697</v>
      </c>
      <c r="BL14">
        <v>95.876288659793801</v>
      </c>
      <c r="BM14">
        <v>96.907216494845301</v>
      </c>
      <c r="BN14" t="s">
        <v>78</v>
      </c>
      <c r="BO14">
        <v>25</v>
      </c>
      <c r="BP14">
        <v>21</v>
      </c>
      <c r="BQ14">
        <v>21</v>
      </c>
    </row>
    <row r="15" spans="1:69" x14ac:dyDescent="0.2">
      <c r="A15" t="s">
        <v>69</v>
      </c>
      <c r="B15">
        <v>14</v>
      </c>
      <c r="C15" t="s">
        <v>70</v>
      </c>
      <c r="D15" t="s">
        <v>71</v>
      </c>
      <c r="E15">
        <v>-2.17733168393644E+17</v>
      </c>
      <c r="F15" s="1">
        <v>20250406.221099999</v>
      </c>
      <c r="G15">
        <v>189</v>
      </c>
      <c r="H15">
        <v>97</v>
      </c>
      <c r="I15">
        <v>68</v>
      </c>
      <c r="J15">
        <v>29</v>
      </c>
      <c r="K15">
        <v>0</v>
      </c>
      <c r="L15">
        <v>70.103092783505105</v>
      </c>
      <c r="M15">
        <v>29.8969072164948</v>
      </c>
      <c r="N15">
        <v>0</v>
      </c>
      <c r="O15">
        <v>9.9839999999999804E-2</v>
      </c>
      <c r="P15">
        <v>0.38338247736365999</v>
      </c>
      <c r="Q15">
        <v>0.46685817968902099</v>
      </c>
      <c r="R15">
        <v>91.508981681480705</v>
      </c>
      <c r="S15">
        <v>101.977168572894</v>
      </c>
      <c r="T15">
        <v>85.362720957561507</v>
      </c>
      <c r="U15">
        <v>1158.68460412166</v>
      </c>
      <c r="V15">
        <v>-1073.3218831641</v>
      </c>
      <c r="W15">
        <v>0.88002805110888205</v>
      </c>
      <c r="X15">
        <v>11.945202104347</v>
      </c>
      <c r="Y15">
        <v>-11.065174053238101</v>
      </c>
      <c r="Z15">
        <v>6.6740164001341196</v>
      </c>
      <c r="AA15">
        <v>6.8804292784887797E-2</v>
      </c>
      <c r="AB15">
        <v>7.81842041264375</v>
      </c>
      <c r="AC15">
        <v>0.94117647058823495</v>
      </c>
      <c r="AD15">
        <v>64</v>
      </c>
      <c r="AE15">
        <v>0.86206896551724099</v>
      </c>
      <c r="AF15">
        <v>25</v>
      </c>
      <c r="AG15">
        <v>0.13793103448275801</v>
      </c>
      <c r="AH15">
        <v>4</v>
      </c>
      <c r="AI15">
        <v>5.8823529411764698E-2</v>
      </c>
      <c r="AJ15">
        <v>4</v>
      </c>
      <c r="AK15">
        <v>0.71910112359550504</v>
      </c>
      <c r="AL15">
        <v>0.94117647058823495</v>
      </c>
      <c r="AM15">
        <v>0.81528662420382103</v>
      </c>
      <c r="AN15">
        <v>0.131653117114225</v>
      </c>
      <c r="AO15">
        <v>0.53422920892494896</v>
      </c>
      <c r="AP15">
        <v>0.71309502226130494</v>
      </c>
      <c r="AQ15">
        <v>0.70103092783505105</v>
      </c>
      <c r="AR15">
        <v>0.62192342276405699</v>
      </c>
      <c r="AS15">
        <v>0.37807657723594201</v>
      </c>
      <c r="AT15">
        <v>0.298969072164948</v>
      </c>
      <c r="AU15">
        <v>0.65359666396385896</v>
      </c>
      <c r="AV15">
        <v>0.70103092783505105</v>
      </c>
      <c r="AW15">
        <v>0.63618310016628998</v>
      </c>
      <c r="AX15">
        <v>0.131653117114225</v>
      </c>
      <c r="AY15">
        <v>0.53422920892494896</v>
      </c>
      <c r="AZ15">
        <v>0.60147294193919498</v>
      </c>
      <c r="BA15">
        <v>0.51575142021001796</v>
      </c>
      <c r="BB15">
        <v>0.70103092783505105</v>
      </c>
      <c r="BC15">
        <v>1E-3</v>
      </c>
      <c r="BD15">
        <v>0</v>
      </c>
      <c r="BE15" s="1">
        <v>5.2899999999999996E-4</v>
      </c>
      <c r="BF15" s="1">
        <v>8.1000000000000004E-5</v>
      </c>
      <c r="BG15">
        <v>0.52900000000000003</v>
      </c>
      <c r="BH15">
        <v>8.1000000000000003E-2</v>
      </c>
      <c r="BI15">
        <v>6416</v>
      </c>
      <c r="BJ15">
        <v>23725</v>
      </c>
      <c r="BK15">
        <v>13697</v>
      </c>
      <c r="BL15">
        <v>98.9690721649484</v>
      </c>
      <c r="BM15">
        <v>98.9690721649484</v>
      </c>
      <c r="BN15" t="s">
        <v>82</v>
      </c>
      <c r="BO15">
        <v>10</v>
      </c>
      <c r="BP15">
        <v>7</v>
      </c>
      <c r="BQ15">
        <v>7</v>
      </c>
    </row>
    <row r="16" spans="1:69" x14ac:dyDescent="0.2">
      <c r="A16" t="s">
        <v>69</v>
      </c>
      <c r="B16">
        <v>15</v>
      </c>
      <c r="C16" t="s">
        <v>70</v>
      </c>
      <c r="D16" t="s">
        <v>71</v>
      </c>
      <c r="E16">
        <v>-2.17733168393644E+17</v>
      </c>
      <c r="F16" s="1">
        <v>20250406.221099999</v>
      </c>
      <c r="G16">
        <v>188</v>
      </c>
      <c r="H16">
        <v>98</v>
      </c>
      <c r="I16">
        <v>71</v>
      </c>
      <c r="J16">
        <v>27</v>
      </c>
      <c r="K16">
        <v>0</v>
      </c>
      <c r="L16">
        <v>72.448979591836704</v>
      </c>
      <c r="M16">
        <v>27.5510204081632</v>
      </c>
      <c r="N16">
        <v>0</v>
      </c>
      <c r="O16">
        <v>0.141466580142764</v>
      </c>
      <c r="P16">
        <v>0.36770272465398002</v>
      </c>
      <c r="Q16">
        <v>0.45122620496701299</v>
      </c>
      <c r="R16">
        <v>87.889919551439206</v>
      </c>
      <c r="S16">
        <v>98.850639288549303</v>
      </c>
      <c r="T16">
        <v>85.877551156073196</v>
      </c>
      <c r="U16">
        <v>87.135986797398502</v>
      </c>
      <c r="V16">
        <v>-1.2584356413253199</v>
      </c>
      <c r="W16">
        <v>0.87630154240891001</v>
      </c>
      <c r="X16">
        <v>0.88914272242243397</v>
      </c>
      <c r="Y16">
        <v>-1.28411800135236E-2</v>
      </c>
      <c r="Z16">
        <v>10.336307637205</v>
      </c>
      <c r="AA16">
        <v>0.10547252691025499</v>
      </c>
      <c r="AB16">
        <v>12.0360996535869</v>
      </c>
      <c r="AC16">
        <v>0.97101449275362295</v>
      </c>
      <c r="AD16">
        <v>67</v>
      </c>
      <c r="AE16">
        <v>0.86206896551724099</v>
      </c>
      <c r="AF16">
        <v>25</v>
      </c>
      <c r="AG16">
        <v>0.13793103448275801</v>
      </c>
      <c r="AH16">
        <v>4</v>
      </c>
      <c r="AI16">
        <v>2.8985507246376802E-2</v>
      </c>
      <c r="AJ16">
        <v>2</v>
      </c>
      <c r="AK16">
        <v>0.72826086956521696</v>
      </c>
      <c r="AL16">
        <v>0.97101449275362295</v>
      </c>
      <c r="AM16">
        <v>0.83229813664596197</v>
      </c>
      <c r="AN16">
        <v>0.20742610408275</v>
      </c>
      <c r="AO16">
        <v>0.60619690154922501</v>
      </c>
      <c r="AP16">
        <v>0.75423332035650803</v>
      </c>
      <c r="AQ16">
        <v>0.72448979591836704</v>
      </c>
      <c r="AR16">
        <v>0.61554426868198497</v>
      </c>
      <c r="AS16">
        <v>0.38445573131801403</v>
      </c>
      <c r="AT16">
        <v>0.27551020408163202</v>
      </c>
      <c r="AU16">
        <v>0.71003401360544205</v>
      </c>
      <c r="AV16">
        <v>0.72448979591836704</v>
      </c>
      <c r="AW16">
        <v>0.65364431486880403</v>
      </c>
      <c r="AX16">
        <v>0.20742610408275</v>
      </c>
      <c r="AY16">
        <v>0.60619690154922501</v>
      </c>
      <c r="AZ16">
        <v>0.65436656249927405</v>
      </c>
      <c r="BA16">
        <v>0.53043478260869503</v>
      </c>
      <c r="BB16">
        <v>0.72448979591836704</v>
      </c>
      <c r="BC16">
        <v>1E-3</v>
      </c>
      <c r="BD16">
        <v>0</v>
      </c>
      <c r="BE16" s="1">
        <v>8.7399999999999999E-4</v>
      </c>
      <c r="BF16" s="1">
        <v>8.7999999999999998E-5</v>
      </c>
      <c r="BG16">
        <v>0.874</v>
      </c>
      <c r="BH16">
        <v>8.7999999999999995E-2</v>
      </c>
      <c r="BI16">
        <v>6974</v>
      </c>
      <c r="BJ16">
        <v>23616</v>
      </c>
      <c r="BK16">
        <v>13806</v>
      </c>
      <c r="BL16">
        <v>97.959183673469298</v>
      </c>
      <c r="BM16">
        <v>96.428571428571402</v>
      </c>
      <c r="BN16" t="s">
        <v>83</v>
      </c>
      <c r="BO16">
        <v>13</v>
      </c>
      <c r="BP16">
        <v>8</v>
      </c>
      <c r="BQ16">
        <v>8</v>
      </c>
    </row>
    <row r="17" spans="1:69" x14ac:dyDescent="0.2">
      <c r="A17" t="s">
        <v>69</v>
      </c>
      <c r="B17">
        <v>16</v>
      </c>
      <c r="C17" t="s">
        <v>70</v>
      </c>
      <c r="D17" t="s">
        <v>71</v>
      </c>
      <c r="E17">
        <v>-2.17733168393644E+17</v>
      </c>
      <c r="F17" s="1">
        <v>20250406.221099999</v>
      </c>
      <c r="G17">
        <v>190</v>
      </c>
      <c r="H17">
        <v>96</v>
      </c>
      <c r="I17">
        <v>72</v>
      </c>
      <c r="J17">
        <v>24</v>
      </c>
      <c r="K17">
        <v>0</v>
      </c>
      <c r="L17">
        <v>75</v>
      </c>
      <c r="M17">
        <v>25</v>
      </c>
      <c r="N17">
        <v>0</v>
      </c>
      <c r="O17">
        <v>0.21311475409836</v>
      </c>
      <c r="P17">
        <v>0.35752407131576802</v>
      </c>
      <c r="Q17">
        <v>0.43033977052470901</v>
      </c>
      <c r="R17">
        <v>85.627386726770297</v>
      </c>
      <c r="S17">
        <v>94.653183863877899</v>
      </c>
      <c r="T17">
        <v>83.638867254530396</v>
      </c>
      <c r="U17">
        <v>76.787036368138899</v>
      </c>
      <c r="V17">
        <v>6.8518308863914399</v>
      </c>
      <c r="W17">
        <v>0.87123820056802503</v>
      </c>
      <c r="X17">
        <v>0.79986496216811398</v>
      </c>
      <c r="Y17">
        <v>7.1373238399910804E-2</v>
      </c>
      <c r="Z17">
        <v>12.670002880525701</v>
      </c>
      <c r="AA17">
        <v>0.131979196672142</v>
      </c>
      <c r="AB17">
        <v>15.148463024933401</v>
      </c>
      <c r="AC17">
        <v>0.98529411764705799</v>
      </c>
      <c r="AD17">
        <v>67</v>
      </c>
      <c r="AE17">
        <v>0.82142857142857095</v>
      </c>
      <c r="AF17">
        <v>23</v>
      </c>
      <c r="AG17">
        <v>0.17857142857142799</v>
      </c>
      <c r="AH17">
        <v>5</v>
      </c>
      <c r="AI17">
        <v>1.47058823529411E-2</v>
      </c>
      <c r="AJ17">
        <v>1</v>
      </c>
      <c r="AK17">
        <v>0.74444444444444402</v>
      </c>
      <c r="AL17">
        <v>0.98529411764705799</v>
      </c>
      <c r="AM17">
        <v>0.848101265822784</v>
      </c>
      <c r="AN17">
        <v>0.30769769441524802</v>
      </c>
      <c r="AO17">
        <v>0.64705882352941102</v>
      </c>
      <c r="AP17">
        <v>0.77855698049690503</v>
      </c>
      <c r="AQ17">
        <v>0.75</v>
      </c>
      <c r="AR17">
        <v>0.58613445378151197</v>
      </c>
      <c r="AS17">
        <v>0.41386554621848698</v>
      </c>
      <c r="AT17">
        <v>0.25</v>
      </c>
      <c r="AU17">
        <v>0.77037037037037004</v>
      </c>
      <c r="AV17">
        <v>0.75</v>
      </c>
      <c r="AW17">
        <v>0.68652271034996204</v>
      </c>
      <c r="AX17">
        <v>0.30769769441524802</v>
      </c>
      <c r="AY17">
        <v>0.64705882352941102</v>
      </c>
      <c r="AZ17">
        <v>0.686963864797279</v>
      </c>
      <c r="BA17">
        <v>0.57110945644080402</v>
      </c>
      <c r="BB17">
        <v>0.75</v>
      </c>
      <c r="BC17">
        <v>1E-3</v>
      </c>
      <c r="BD17">
        <v>0</v>
      </c>
      <c r="BE17" s="1">
        <v>7.1999999999999896E-4</v>
      </c>
      <c r="BF17" s="1">
        <v>8.7000000000000001E-5</v>
      </c>
      <c r="BG17">
        <v>0.72</v>
      </c>
      <c r="BH17">
        <v>8.6999999999999994E-2</v>
      </c>
      <c r="BI17">
        <v>6974</v>
      </c>
      <c r="BJ17">
        <v>23834</v>
      </c>
      <c r="BK17">
        <v>13588</v>
      </c>
      <c r="BL17">
        <v>100</v>
      </c>
      <c r="BM17">
        <v>98.4375</v>
      </c>
      <c r="BN17" t="s">
        <v>83</v>
      </c>
      <c r="BO17">
        <v>13</v>
      </c>
      <c r="BP17">
        <v>8</v>
      </c>
      <c r="BQ17">
        <v>8</v>
      </c>
    </row>
    <row r="18" spans="1:69" x14ac:dyDescent="0.2">
      <c r="A18" t="s">
        <v>69</v>
      </c>
      <c r="B18">
        <v>17</v>
      </c>
      <c r="C18" t="s">
        <v>70</v>
      </c>
      <c r="D18" t="s">
        <v>71</v>
      </c>
      <c r="E18">
        <v>-2.17733168393644E+17</v>
      </c>
      <c r="F18" s="1">
        <v>20250406.221099999</v>
      </c>
      <c r="G18">
        <v>188</v>
      </c>
      <c r="H18">
        <v>98</v>
      </c>
      <c r="I18">
        <v>71</v>
      </c>
      <c r="J18">
        <v>27</v>
      </c>
      <c r="K18">
        <v>0</v>
      </c>
      <c r="L18">
        <v>72.448979591836704</v>
      </c>
      <c r="M18">
        <v>27.5510204081632</v>
      </c>
      <c r="N18">
        <v>0</v>
      </c>
      <c r="O18">
        <v>0.16318785578747599</v>
      </c>
      <c r="P18">
        <v>0.37711211206109702</v>
      </c>
      <c r="Q18">
        <v>0.449804682820726</v>
      </c>
      <c r="R18">
        <v>90.138992638993898</v>
      </c>
      <c r="S18">
        <v>98.539224810895902</v>
      </c>
      <c r="T18">
        <v>85.877551156073196</v>
      </c>
      <c r="U18">
        <v>84.279546233631905</v>
      </c>
      <c r="V18">
        <v>1.59800492244127</v>
      </c>
      <c r="W18">
        <v>0.87630154240891001</v>
      </c>
      <c r="X18">
        <v>0.85999536973093804</v>
      </c>
      <c r="Y18">
        <v>1.63061726779722E-2</v>
      </c>
      <c r="Z18">
        <v>8.6416392171567296</v>
      </c>
      <c r="AA18">
        <v>8.8179992011803404E-2</v>
      </c>
      <c r="AB18">
        <v>10.0627452702412</v>
      </c>
      <c r="AC18">
        <v>0.95652173913043403</v>
      </c>
      <c r="AD18">
        <v>66</v>
      </c>
      <c r="AE18">
        <v>0.82758620689655105</v>
      </c>
      <c r="AF18">
        <v>24</v>
      </c>
      <c r="AG18">
        <v>0.17241379310344801</v>
      </c>
      <c r="AH18">
        <v>5</v>
      </c>
      <c r="AI18">
        <v>4.3478260869565202E-2</v>
      </c>
      <c r="AJ18">
        <v>3</v>
      </c>
      <c r="AK18">
        <v>0.73333333333333295</v>
      </c>
      <c r="AL18">
        <v>0.95652173913043403</v>
      </c>
      <c r="AM18">
        <v>0.83018867924528295</v>
      </c>
      <c r="AN18">
        <v>0.214946270147855</v>
      </c>
      <c r="AO18">
        <v>0.61844077961019495</v>
      </c>
      <c r="AP18">
        <v>0.75891144406380795</v>
      </c>
      <c r="AQ18">
        <v>0.72448979591836704</v>
      </c>
      <c r="AR18">
        <v>0.59555426368448405</v>
      </c>
      <c r="AS18">
        <v>0.404445736315515</v>
      </c>
      <c r="AT18">
        <v>0.27551020408163202</v>
      </c>
      <c r="AU18">
        <v>0.70127551020408097</v>
      </c>
      <c r="AV18">
        <v>0.72448979591836704</v>
      </c>
      <c r="AW18">
        <v>0.664498537813901</v>
      </c>
      <c r="AX18">
        <v>0.214946270147855</v>
      </c>
      <c r="AY18">
        <v>0.61844077961019495</v>
      </c>
      <c r="AZ18">
        <v>0.654589507908926</v>
      </c>
      <c r="BA18">
        <v>0.55022947475777595</v>
      </c>
      <c r="BB18">
        <v>0.72448979591836704</v>
      </c>
      <c r="BC18">
        <v>1E-3</v>
      </c>
      <c r="BD18">
        <v>0</v>
      </c>
      <c r="BE18" s="1">
        <v>4.5199999999999998E-4</v>
      </c>
      <c r="BF18" s="1">
        <v>8.7000000000000001E-5</v>
      </c>
      <c r="BG18">
        <v>0.45200000000000001</v>
      </c>
      <c r="BH18">
        <v>8.6999999999999994E-2</v>
      </c>
      <c r="BI18">
        <v>5712</v>
      </c>
      <c r="BJ18">
        <v>23616</v>
      </c>
      <c r="BK18">
        <v>13806</v>
      </c>
      <c r="BL18">
        <v>100</v>
      </c>
      <c r="BM18">
        <v>100</v>
      </c>
      <c r="BN18" t="s">
        <v>75</v>
      </c>
      <c r="BO18">
        <v>6</v>
      </c>
      <c r="BP18">
        <v>4</v>
      </c>
      <c r="BQ18">
        <v>4</v>
      </c>
    </row>
    <row r="19" spans="1:69" x14ac:dyDescent="0.2">
      <c r="A19" t="s">
        <v>69</v>
      </c>
      <c r="B19">
        <v>18</v>
      </c>
      <c r="C19" t="s">
        <v>70</v>
      </c>
      <c r="D19" t="s">
        <v>71</v>
      </c>
      <c r="E19">
        <v>-2.17733168393644E+17</v>
      </c>
      <c r="F19" s="1">
        <v>20250406.221099999</v>
      </c>
      <c r="G19">
        <v>189</v>
      </c>
      <c r="H19">
        <v>97</v>
      </c>
      <c r="I19">
        <v>67</v>
      </c>
      <c r="J19">
        <v>30</v>
      </c>
      <c r="K19">
        <v>0</v>
      </c>
      <c r="L19">
        <v>69.072164948453604</v>
      </c>
      <c r="M19">
        <v>30.9278350515463</v>
      </c>
      <c r="N19">
        <v>0</v>
      </c>
      <c r="O19">
        <v>4.4021024967148298E-2</v>
      </c>
      <c r="P19">
        <v>0.38362749035884203</v>
      </c>
      <c r="Q19">
        <v>0.45751733922767301</v>
      </c>
      <c r="R19">
        <v>91.994130389312403</v>
      </c>
      <c r="S19">
        <v>100.91082474095001</v>
      </c>
      <c r="T19">
        <v>84.172640406313505</v>
      </c>
      <c r="U19">
        <v>85.589890231593699</v>
      </c>
      <c r="V19">
        <v>-1.41724982528018</v>
      </c>
      <c r="W19">
        <v>0.86775917944653103</v>
      </c>
      <c r="X19">
        <v>0.88237000238756402</v>
      </c>
      <c r="Y19">
        <v>-1.46108229410327E-2</v>
      </c>
      <c r="Z19">
        <v>6.0208401147995403</v>
      </c>
      <c r="AA19">
        <v>6.2070516647417903E-2</v>
      </c>
      <c r="AB19">
        <v>7.1529657210895001</v>
      </c>
      <c r="AC19">
        <v>0.92753623188405798</v>
      </c>
      <c r="AD19">
        <v>64</v>
      </c>
      <c r="AE19">
        <v>0.89285714285714202</v>
      </c>
      <c r="AF19">
        <v>25</v>
      </c>
      <c r="AG19">
        <v>0.107142857142857</v>
      </c>
      <c r="AH19">
        <v>3</v>
      </c>
      <c r="AI19">
        <v>7.2463768115942004E-2</v>
      </c>
      <c r="AJ19">
        <v>5</v>
      </c>
      <c r="AK19">
        <v>0.71910112359550504</v>
      </c>
      <c r="AL19">
        <v>0.92753623188405798</v>
      </c>
      <c r="AM19">
        <v>0.81012658227848</v>
      </c>
      <c r="AN19">
        <v>5.71256618578838E-2</v>
      </c>
      <c r="AO19">
        <v>0.66563146997929601</v>
      </c>
      <c r="AP19">
        <v>0.79291001194605504</v>
      </c>
      <c r="AQ19">
        <v>0.69072164948453596</v>
      </c>
      <c r="AR19">
        <v>0.65604256045762099</v>
      </c>
      <c r="AS19">
        <v>0.34395743954237901</v>
      </c>
      <c r="AT19">
        <v>0.30927835051546299</v>
      </c>
      <c r="AU19">
        <v>0.61977296420711203</v>
      </c>
      <c r="AV19">
        <v>0.69072164948453596</v>
      </c>
      <c r="AW19">
        <v>0.62438557571012199</v>
      </c>
      <c r="AX19">
        <v>5.71256618578838E-2</v>
      </c>
      <c r="AY19">
        <v>0.66563146997929601</v>
      </c>
      <c r="AZ19">
        <v>0.69994575743852105</v>
      </c>
      <c r="BA19">
        <v>0.48839662447257298</v>
      </c>
      <c r="BB19">
        <v>0.69072164948453596</v>
      </c>
      <c r="BC19">
        <v>0</v>
      </c>
      <c r="BD19">
        <v>0</v>
      </c>
      <c r="BE19" s="1">
        <v>3.8200000000000002E-4</v>
      </c>
      <c r="BF19" s="1">
        <v>8.2999999999999998E-5</v>
      </c>
      <c r="BG19">
        <v>0.38200000000000001</v>
      </c>
      <c r="BH19">
        <v>8.3000000000000004E-2</v>
      </c>
      <c r="BI19">
        <v>7436</v>
      </c>
      <c r="BJ19">
        <v>23725</v>
      </c>
      <c r="BK19">
        <v>13697</v>
      </c>
      <c r="BL19">
        <v>100</v>
      </c>
      <c r="BM19">
        <v>100</v>
      </c>
      <c r="BN19" t="s">
        <v>84</v>
      </c>
      <c r="BO19">
        <v>16</v>
      </c>
      <c r="BP19">
        <v>13</v>
      </c>
      <c r="BQ19">
        <v>13</v>
      </c>
    </row>
    <row r="20" spans="1:69" x14ac:dyDescent="0.2">
      <c r="A20" t="s">
        <v>69</v>
      </c>
      <c r="B20">
        <v>19</v>
      </c>
      <c r="C20" t="s">
        <v>70</v>
      </c>
      <c r="D20" t="s">
        <v>71</v>
      </c>
      <c r="E20">
        <v>-2.17733168393644E+17</v>
      </c>
      <c r="F20" s="1">
        <v>20250406.221099999</v>
      </c>
      <c r="G20">
        <v>189</v>
      </c>
      <c r="H20">
        <v>97</v>
      </c>
      <c r="I20">
        <v>67</v>
      </c>
      <c r="J20">
        <v>30</v>
      </c>
      <c r="K20">
        <v>0</v>
      </c>
      <c r="L20">
        <v>69.072164948453604</v>
      </c>
      <c r="M20">
        <v>30.9278350515463</v>
      </c>
      <c r="N20">
        <v>0</v>
      </c>
      <c r="O20">
        <v>0.143613890523837</v>
      </c>
      <c r="P20">
        <v>0.38820517864283199</v>
      </c>
      <c r="Q20">
        <v>0.48793308570250998</v>
      </c>
      <c r="R20">
        <v>92.660104930633196</v>
      </c>
      <c r="S20">
        <v>106.580620620424</v>
      </c>
      <c r="T20">
        <v>85.362720957561507</v>
      </c>
      <c r="U20">
        <v>98.423179371464499</v>
      </c>
      <c r="V20">
        <v>-13.060458413903</v>
      </c>
      <c r="W20">
        <v>0.88002805110888105</v>
      </c>
      <c r="X20">
        <v>1.01467195228313</v>
      </c>
      <c r="Y20">
        <v>-0.13464390117425701</v>
      </c>
      <c r="Z20">
        <v>3.77513339288716</v>
      </c>
      <c r="AA20">
        <v>3.8918900957599499E-2</v>
      </c>
      <c r="AB20">
        <v>4.4224614100152504</v>
      </c>
      <c r="AC20">
        <v>0.88235294117647001</v>
      </c>
      <c r="AD20">
        <v>60</v>
      </c>
      <c r="AE20">
        <v>0.75862068965517204</v>
      </c>
      <c r="AF20">
        <v>22</v>
      </c>
      <c r="AG20">
        <v>0.24137931034482701</v>
      </c>
      <c r="AH20">
        <v>7</v>
      </c>
      <c r="AI20">
        <v>0.11764705882352899</v>
      </c>
      <c r="AJ20">
        <v>8</v>
      </c>
      <c r="AK20">
        <v>0.73170731707317005</v>
      </c>
      <c r="AL20">
        <v>0.88235294117647001</v>
      </c>
      <c r="AM20">
        <v>0.8</v>
      </c>
      <c r="AN20">
        <v>0.15666926836932399</v>
      </c>
      <c r="AO20">
        <v>0.53346855983772801</v>
      </c>
      <c r="AP20">
        <v>0.71262415003062096</v>
      </c>
      <c r="AQ20">
        <v>0.69072164948453596</v>
      </c>
      <c r="AR20">
        <v>0.566989397963237</v>
      </c>
      <c r="AS20">
        <v>0.433010602036762</v>
      </c>
      <c r="AT20">
        <v>0.30927835051546299</v>
      </c>
      <c r="AU20">
        <v>0.65246835973514306</v>
      </c>
      <c r="AV20">
        <v>0.69072164948453596</v>
      </c>
      <c r="AW20">
        <v>0.655951265229615</v>
      </c>
      <c r="AX20">
        <v>0.15666926836932399</v>
      </c>
      <c r="AY20">
        <v>0.53346855983772801</v>
      </c>
      <c r="AZ20">
        <v>0.60610676411158104</v>
      </c>
      <c r="BA20">
        <v>0.55909090909090897</v>
      </c>
      <c r="BB20">
        <v>0.69072164948453596</v>
      </c>
      <c r="BC20">
        <v>0</v>
      </c>
      <c r="BD20">
        <v>0</v>
      </c>
      <c r="BE20" s="1">
        <v>6.3500000000000004E-4</v>
      </c>
      <c r="BF20" s="1">
        <v>9.8999999999999994E-5</v>
      </c>
      <c r="BG20">
        <v>0.63500000000000001</v>
      </c>
      <c r="BH20">
        <v>9.9000000000000005E-2</v>
      </c>
      <c r="BI20">
        <v>6076</v>
      </c>
      <c r="BJ20">
        <v>23725</v>
      </c>
      <c r="BK20">
        <v>13697</v>
      </c>
      <c r="BL20">
        <v>100</v>
      </c>
      <c r="BM20">
        <v>100</v>
      </c>
      <c r="BN20" t="s">
        <v>85</v>
      </c>
      <c r="BO20">
        <v>8</v>
      </c>
      <c r="BP20">
        <v>5</v>
      </c>
      <c r="BQ20">
        <v>5</v>
      </c>
    </row>
    <row r="21" spans="1:69" x14ac:dyDescent="0.2">
      <c r="A21" t="s">
        <v>69</v>
      </c>
      <c r="B21">
        <v>20</v>
      </c>
      <c r="C21" t="s">
        <v>70</v>
      </c>
      <c r="D21" t="s">
        <v>71</v>
      </c>
      <c r="E21">
        <v>-2.17733168393644E+17</v>
      </c>
      <c r="F21" s="1">
        <v>20250406.221099999</v>
      </c>
      <c r="G21">
        <v>189</v>
      </c>
      <c r="H21">
        <v>97</v>
      </c>
      <c r="I21">
        <v>63</v>
      </c>
      <c r="J21">
        <v>34</v>
      </c>
      <c r="K21">
        <v>0</v>
      </c>
      <c r="L21">
        <v>64.948453608247405</v>
      </c>
      <c r="M21">
        <v>35.051546391752503</v>
      </c>
      <c r="N21">
        <v>0</v>
      </c>
      <c r="O21">
        <v>7.2031513787281995E-2</v>
      </c>
      <c r="P21">
        <v>0.41321270776351798</v>
      </c>
      <c r="Q21">
        <v>0.51390579200273501</v>
      </c>
      <c r="R21">
        <v>98.629114103770902</v>
      </c>
      <c r="S21">
        <v>112.253913204558</v>
      </c>
      <c r="T21">
        <v>85.362720957561507</v>
      </c>
      <c r="U21">
        <v>4385.4388036253104</v>
      </c>
      <c r="V21">
        <v>-4300.0760826677497</v>
      </c>
      <c r="W21">
        <v>0.88002805110888105</v>
      </c>
      <c r="X21">
        <v>45.210709315724799</v>
      </c>
      <c r="Y21">
        <v>-44.330681264615897</v>
      </c>
      <c r="Z21">
        <v>-1.2852045722924601</v>
      </c>
      <c r="AA21">
        <v>-1.32495316731181E-2</v>
      </c>
      <c r="AB21">
        <v>-1.5055806069389499</v>
      </c>
      <c r="AC21">
        <v>0.82352941176470495</v>
      </c>
      <c r="AD21">
        <v>56</v>
      </c>
      <c r="AE21">
        <v>0.75862068965517204</v>
      </c>
      <c r="AF21">
        <v>22</v>
      </c>
      <c r="AG21">
        <v>0.24137931034482701</v>
      </c>
      <c r="AH21">
        <v>7</v>
      </c>
      <c r="AI21">
        <v>0.17647058823529399</v>
      </c>
      <c r="AJ21">
        <v>12</v>
      </c>
      <c r="AK21">
        <v>0.71794871794871795</v>
      </c>
      <c r="AL21">
        <v>0.82352941176470495</v>
      </c>
      <c r="AM21">
        <v>0.76712328767123295</v>
      </c>
      <c r="AN21">
        <v>7.4874237473650698E-2</v>
      </c>
      <c r="AO21">
        <v>0.526115618661257</v>
      </c>
      <c r="AP21">
        <v>0.71880622753595702</v>
      </c>
      <c r="AQ21">
        <v>0.64948453608247403</v>
      </c>
      <c r="AR21">
        <v>0.58457581397294001</v>
      </c>
      <c r="AS21">
        <v>0.41542418602705899</v>
      </c>
      <c r="AT21">
        <v>0.35051546391752503</v>
      </c>
      <c r="AU21">
        <v>0.61345075615287203</v>
      </c>
      <c r="AV21">
        <v>0.64948453608247403</v>
      </c>
      <c r="AW21">
        <v>0.624976462834816</v>
      </c>
      <c r="AX21">
        <v>7.4874237473650698E-2</v>
      </c>
      <c r="AY21">
        <v>0.526115618661257</v>
      </c>
      <c r="AZ21">
        <v>0.61010656651795703</v>
      </c>
      <c r="BA21">
        <v>0.52939497716894901</v>
      </c>
      <c r="BB21">
        <v>0.64948453608247403</v>
      </c>
      <c r="BC21">
        <v>0</v>
      </c>
      <c r="BD21">
        <v>0</v>
      </c>
      <c r="BE21" s="1">
        <v>4.6700000000000002E-4</v>
      </c>
      <c r="BF21" s="1">
        <v>9.7999999999999997E-5</v>
      </c>
      <c r="BG21">
        <v>0.46700000000000003</v>
      </c>
      <c r="BH21">
        <v>9.8000000000000004E-2</v>
      </c>
      <c r="BI21">
        <v>11734</v>
      </c>
      <c r="BJ21">
        <v>23725</v>
      </c>
      <c r="BK21">
        <v>13697</v>
      </c>
      <c r="BL21">
        <v>95.876288659793801</v>
      </c>
      <c r="BM21">
        <v>95.360824742267994</v>
      </c>
      <c r="BN21" t="s">
        <v>86</v>
      </c>
      <c r="BO21">
        <v>41</v>
      </c>
      <c r="BP21">
        <v>36</v>
      </c>
      <c r="BQ21">
        <v>36</v>
      </c>
    </row>
    <row r="22" spans="1:69" x14ac:dyDescent="0.2">
      <c r="A22" t="s">
        <v>69</v>
      </c>
      <c r="B22">
        <v>21</v>
      </c>
      <c r="C22" t="s">
        <v>70</v>
      </c>
      <c r="D22" t="s">
        <v>71</v>
      </c>
      <c r="E22">
        <v>-2.17733168393644E+17</v>
      </c>
      <c r="F22" s="1">
        <v>20250406.221099999</v>
      </c>
      <c r="G22">
        <v>189</v>
      </c>
      <c r="H22">
        <v>97</v>
      </c>
      <c r="I22">
        <v>68</v>
      </c>
      <c r="J22">
        <v>29</v>
      </c>
      <c r="K22">
        <v>0</v>
      </c>
      <c r="L22">
        <v>70.103092783505105</v>
      </c>
      <c r="M22">
        <v>29.8969072164948</v>
      </c>
      <c r="N22">
        <v>0</v>
      </c>
      <c r="O22">
        <v>0.12176084920387099</v>
      </c>
      <c r="P22">
        <v>0.38071866128791199</v>
      </c>
      <c r="Q22">
        <v>0.47125918835585701</v>
      </c>
      <c r="R22">
        <v>90.873159465101196</v>
      </c>
      <c r="S22">
        <v>102.938493493896</v>
      </c>
      <c r="T22">
        <v>85.362720957561507</v>
      </c>
      <c r="U22">
        <v>4371.0593032510596</v>
      </c>
      <c r="V22">
        <v>-4285.6965822934999</v>
      </c>
      <c r="W22">
        <v>0.88002805110888205</v>
      </c>
      <c r="X22">
        <v>45.062467043825301</v>
      </c>
      <c r="Y22">
        <v>-44.182438992716399</v>
      </c>
      <c r="Z22">
        <v>7.3888148065146204</v>
      </c>
      <c r="AA22">
        <v>7.6173348520769193E-2</v>
      </c>
      <c r="AB22">
        <v>8.6557864178064303</v>
      </c>
      <c r="AC22">
        <v>0.92647058823529405</v>
      </c>
      <c r="AD22">
        <v>63</v>
      </c>
      <c r="AE22">
        <v>0.82758620689655105</v>
      </c>
      <c r="AF22">
        <v>24</v>
      </c>
      <c r="AG22">
        <v>0.17241379310344801</v>
      </c>
      <c r="AH22">
        <v>5</v>
      </c>
      <c r="AI22">
        <v>7.3529411764705802E-2</v>
      </c>
      <c r="AJ22">
        <v>5</v>
      </c>
      <c r="AK22">
        <v>0.72413793103448199</v>
      </c>
      <c r="AL22">
        <v>0.92647058823529405</v>
      </c>
      <c r="AM22">
        <v>0.81290322580645102</v>
      </c>
      <c r="AN22">
        <v>0.148874916103722</v>
      </c>
      <c r="AO22">
        <v>0.634381338742393</v>
      </c>
      <c r="AP22">
        <v>0.77255591855453798</v>
      </c>
      <c r="AQ22">
        <v>0.70103092783505105</v>
      </c>
      <c r="AR22">
        <v>0.60214654649630905</v>
      </c>
      <c r="AS22">
        <v>0.39785345350369</v>
      </c>
      <c r="AT22">
        <v>0.298969072164948</v>
      </c>
      <c r="AU22">
        <v>0.65712762175613204</v>
      </c>
      <c r="AV22">
        <v>0.70103092783505105</v>
      </c>
      <c r="AW22">
        <v>0.64652903907975401</v>
      </c>
      <c r="AX22">
        <v>0.148874916103722</v>
      </c>
      <c r="AY22">
        <v>0.634381338742393</v>
      </c>
      <c r="AZ22">
        <v>0.65353875891990398</v>
      </c>
      <c r="BA22">
        <v>0.53465674110835404</v>
      </c>
      <c r="BB22">
        <v>0.70103092783505105</v>
      </c>
      <c r="BC22">
        <v>0</v>
      </c>
      <c r="BD22">
        <v>0</v>
      </c>
      <c r="BE22" s="1">
        <v>4.9700000000000005E-4</v>
      </c>
      <c r="BF22" s="1">
        <v>8.3999999999999995E-5</v>
      </c>
      <c r="BG22">
        <v>0.497</v>
      </c>
      <c r="BH22">
        <v>8.4000000000000005E-2</v>
      </c>
      <c r="BI22">
        <v>8116</v>
      </c>
      <c r="BJ22">
        <v>23725</v>
      </c>
      <c r="BK22">
        <v>13697</v>
      </c>
      <c r="BL22">
        <v>95.876288659793801</v>
      </c>
      <c r="BM22">
        <v>96.907216494845301</v>
      </c>
      <c r="BN22" t="s">
        <v>87</v>
      </c>
      <c r="BO22">
        <v>20</v>
      </c>
      <c r="BP22">
        <v>17</v>
      </c>
      <c r="BQ22">
        <v>17</v>
      </c>
    </row>
    <row r="23" spans="1:69" x14ac:dyDescent="0.2">
      <c r="A23" t="s">
        <v>69</v>
      </c>
      <c r="B23">
        <v>22</v>
      </c>
      <c r="C23" t="s">
        <v>70</v>
      </c>
      <c r="D23" t="s">
        <v>71</v>
      </c>
      <c r="E23">
        <v>-2.17733168393644E+17</v>
      </c>
      <c r="F23" s="1">
        <v>20250406.221099999</v>
      </c>
      <c r="G23">
        <v>189</v>
      </c>
      <c r="H23">
        <v>97</v>
      </c>
      <c r="I23">
        <v>72</v>
      </c>
      <c r="J23">
        <v>25</v>
      </c>
      <c r="K23">
        <v>0</v>
      </c>
      <c r="L23">
        <v>74.226804123711304</v>
      </c>
      <c r="M23">
        <v>25.7731958762886</v>
      </c>
      <c r="N23">
        <v>0</v>
      </c>
      <c r="O23">
        <v>0.278058946114915</v>
      </c>
      <c r="P23">
        <v>0.37030679140337103</v>
      </c>
      <c r="Q23">
        <v>0.446385792312742</v>
      </c>
      <c r="R23">
        <v>88.387966043935293</v>
      </c>
      <c r="S23">
        <v>97.505326396002303</v>
      </c>
      <c r="T23">
        <v>85.362720957561507</v>
      </c>
      <c r="U23">
        <v>83.477158192704593</v>
      </c>
      <c r="V23">
        <v>1.88556276485692</v>
      </c>
      <c r="W23">
        <v>0.88002805110888205</v>
      </c>
      <c r="X23">
        <v>0.860589259718604</v>
      </c>
      <c r="Y23">
        <v>1.9438791390277599E-2</v>
      </c>
      <c r="Z23">
        <v>10.377027107807701</v>
      </c>
      <c r="AA23">
        <v>0.106979660905234</v>
      </c>
      <c r="AB23">
        <v>12.156392148004199</v>
      </c>
      <c r="AC23">
        <v>0.92647058823529405</v>
      </c>
      <c r="AD23">
        <v>63</v>
      </c>
      <c r="AE23">
        <v>0.68965517241379304</v>
      </c>
      <c r="AF23">
        <v>20</v>
      </c>
      <c r="AG23">
        <v>0.31034482758620602</v>
      </c>
      <c r="AH23">
        <v>9</v>
      </c>
      <c r="AI23">
        <v>7.3529411764705802E-2</v>
      </c>
      <c r="AJ23">
        <v>5</v>
      </c>
      <c r="AK23">
        <v>0.75903614457831303</v>
      </c>
      <c r="AL23">
        <v>0.92647058823529405</v>
      </c>
      <c r="AM23">
        <v>0.83443708609271505</v>
      </c>
      <c r="AN23">
        <v>0.30850368876222101</v>
      </c>
      <c r="AO23">
        <v>0.60851926977687598</v>
      </c>
      <c r="AP23">
        <v>0.74971596365418403</v>
      </c>
      <c r="AQ23">
        <v>0.74226804123711299</v>
      </c>
      <c r="AR23">
        <v>0.50545262541561198</v>
      </c>
      <c r="AS23">
        <v>0.49454737458438702</v>
      </c>
      <c r="AT23">
        <v>0.25773195876288602</v>
      </c>
      <c r="AU23">
        <v>0.72430221622868496</v>
      </c>
      <c r="AV23">
        <v>0.74226804123711299</v>
      </c>
      <c r="AW23">
        <v>0.71011604884562396</v>
      </c>
      <c r="AX23">
        <v>0.30850368876222101</v>
      </c>
      <c r="AY23">
        <v>0.60851926977687598</v>
      </c>
      <c r="AZ23">
        <v>0.65053911813323295</v>
      </c>
      <c r="BA23">
        <v>0.62652086862775302</v>
      </c>
      <c r="BB23">
        <v>0.74226804123711299</v>
      </c>
      <c r="BC23">
        <v>0</v>
      </c>
      <c r="BD23">
        <v>0</v>
      </c>
      <c r="BE23" s="1">
        <v>4.1599999999999997E-4</v>
      </c>
      <c r="BF23" s="1">
        <v>7.8999999999999996E-5</v>
      </c>
      <c r="BG23">
        <v>0.41599999999999998</v>
      </c>
      <c r="BH23">
        <v>7.9000000000000001E-2</v>
      </c>
      <c r="BI23">
        <v>5712</v>
      </c>
      <c r="BJ23">
        <v>23725</v>
      </c>
      <c r="BK23">
        <v>13697</v>
      </c>
      <c r="BL23">
        <v>100</v>
      </c>
      <c r="BM23">
        <v>100</v>
      </c>
      <c r="BN23" t="s">
        <v>75</v>
      </c>
      <c r="BO23">
        <v>6</v>
      </c>
      <c r="BP23">
        <v>4</v>
      </c>
      <c r="BQ23">
        <v>4</v>
      </c>
    </row>
    <row r="24" spans="1:69" x14ac:dyDescent="0.2">
      <c r="A24" t="s">
        <v>69</v>
      </c>
      <c r="B24">
        <v>23</v>
      </c>
      <c r="C24" t="s">
        <v>70</v>
      </c>
      <c r="D24" t="s">
        <v>71</v>
      </c>
      <c r="E24">
        <v>-2.17733168393644E+17</v>
      </c>
      <c r="F24" s="1">
        <v>20250406.221099999</v>
      </c>
      <c r="G24">
        <v>188</v>
      </c>
      <c r="H24">
        <v>98</v>
      </c>
      <c r="I24">
        <v>67</v>
      </c>
      <c r="J24">
        <v>31</v>
      </c>
      <c r="K24">
        <v>0</v>
      </c>
      <c r="L24">
        <v>68.367346938775498</v>
      </c>
      <c r="M24">
        <v>31.632653061224399</v>
      </c>
      <c r="N24">
        <v>0</v>
      </c>
      <c r="O24">
        <v>8.5490668272125203E-2</v>
      </c>
      <c r="P24">
        <v>0.38725925435109099</v>
      </c>
      <c r="Q24">
        <v>0.49127642566505297</v>
      </c>
      <c r="R24">
        <v>92.564407137577902</v>
      </c>
      <c r="S24">
        <v>107.62448680908101</v>
      </c>
      <c r="T24">
        <v>85.877551156073196</v>
      </c>
      <c r="U24">
        <v>7589.2644599334699</v>
      </c>
      <c r="V24">
        <v>-7503.3869087773901</v>
      </c>
      <c r="W24">
        <v>0.87630154240891001</v>
      </c>
      <c r="X24">
        <v>77.441474080953796</v>
      </c>
      <c r="Y24">
        <v>-76.5651725385448</v>
      </c>
      <c r="Z24">
        <v>5.3536826435072502</v>
      </c>
      <c r="AA24">
        <v>5.4629414729665898E-2</v>
      </c>
      <c r="AB24">
        <v>6.2340886197109997</v>
      </c>
      <c r="AC24">
        <v>0.89855072463768104</v>
      </c>
      <c r="AD24">
        <v>62</v>
      </c>
      <c r="AE24">
        <v>0.82758620689655105</v>
      </c>
      <c r="AF24">
        <v>24</v>
      </c>
      <c r="AG24">
        <v>0.17241379310344801</v>
      </c>
      <c r="AH24">
        <v>5</v>
      </c>
      <c r="AI24">
        <v>0.101449275362318</v>
      </c>
      <c r="AJ24">
        <v>7</v>
      </c>
      <c r="AK24">
        <v>0.72093023255813904</v>
      </c>
      <c r="AL24">
        <v>0.89855072463768104</v>
      </c>
      <c r="AM24">
        <v>0.79999999999999905</v>
      </c>
      <c r="AN24">
        <v>9.8815472453270894E-2</v>
      </c>
      <c r="AO24">
        <v>0.53423288355821996</v>
      </c>
      <c r="AP24">
        <v>0.71921412787410499</v>
      </c>
      <c r="AQ24">
        <v>0.68367346938775497</v>
      </c>
      <c r="AR24">
        <v>0.61270895164662498</v>
      </c>
      <c r="AS24">
        <v>0.38729104835337402</v>
      </c>
      <c r="AT24">
        <v>0.31632653061224397</v>
      </c>
      <c r="AU24">
        <v>0.63089305489637704</v>
      </c>
      <c r="AV24">
        <v>0.68367346938775497</v>
      </c>
      <c r="AW24">
        <v>0.63544051767048204</v>
      </c>
      <c r="AX24">
        <v>9.8815472453270894E-2</v>
      </c>
      <c r="AY24">
        <v>0.53423288355821996</v>
      </c>
      <c r="AZ24">
        <v>0.60731194248139897</v>
      </c>
      <c r="BA24">
        <v>0.52195121951219503</v>
      </c>
      <c r="BB24">
        <v>0.68367346938775497</v>
      </c>
      <c r="BC24">
        <v>1E-3</v>
      </c>
      <c r="BD24">
        <v>0</v>
      </c>
      <c r="BE24" s="1">
        <v>3.5399999999999999E-4</v>
      </c>
      <c r="BF24" s="1">
        <v>1.04999999999999E-4</v>
      </c>
      <c r="BG24">
        <v>0.35399999999999998</v>
      </c>
      <c r="BH24">
        <v>0.105</v>
      </c>
      <c r="BI24">
        <v>8820</v>
      </c>
      <c r="BJ24">
        <v>23616</v>
      </c>
      <c r="BK24">
        <v>13806</v>
      </c>
      <c r="BL24">
        <v>92.857142857142804</v>
      </c>
      <c r="BM24">
        <v>93.367346938775498</v>
      </c>
      <c r="BN24" t="s">
        <v>72</v>
      </c>
      <c r="BO24">
        <v>24</v>
      </c>
      <c r="BP24">
        <v>20</v>
      </c>
      <c r="BQ24">
        <v>20</v>
      </c>
    </row>
    <row r="25" spans="1:69" x14ac:dyDescent="0.2">
      <c r="A25" t="s">
        <v>69</v>
      </c>
      <c r="B25">
        <v>24</v>
      </c>
      <c r="C25" t="s">
        <v>70</v>
      </c>
      <c r="D25" t="s">
        <v>71</v>
      </c>
      <c r="E25">
        <v>-2.17733168393644E+17</v>
      </c>
      <c r="F25" s="1">
        <v>20250406.221099999</v>
      </c>
      <c r="G25">
        <v>189</v>
      </c>
      <c r="H25">
        <v>97</v>
      </c>
      <c r="I25">
        <v>71</v>
      </c>
      <c r="J25">
        <v>26</v>
      </c>
      <c r="K25">
        <v>0</v>
      </c>
      <c r="L25">
        <v>73.195876288659704</v>
      </c>
      <c r="M25">
        <v>26.8041237113402</v>
      </c>
      <c r="N25">
        <v>0</v>
      </c>
      <c r="O25">
        <v>0.16156914893617</v>
      </c>
      <c r="P25">
        <v>0.384287591147629</v>
      </c>
      <c r="Q25">
        <v>0.45567117400668999</v>
      </c>
      <c r="R25">
        <v>91.725021916930302</v>
      </c>
      <c r="S25">
        <v>99.533558898853798</v>
      </c>
      <c r="T25">
        <v>85.362720957561507</v>
      </c>
      <c r="U25">
        <v>85.231133446933597</v>
      </c>
      <c r="V25">
        <v>0.131587510627937</v>
      </c>
      <c r="W25">
        <v>0.88002805110888205</v>
      </c>
      <c r="X25">
        <v>0.87867147883436703</v>
      </c>
      <c r="Y25">
        <v>1.3565722745148201E-3</v>
      </c>
      <c r="Z25">
        <v>5.6409790184434296</v>
      </c>
      <c r="AA25">
        <v>5.8154422870550802E-2</v>
      </c>
      <c r="AB25">
        <v>6.60824649819663</v>
      </c>
      <c r="AC25">
        <v>0.98529411764705799</v>
      </c>
      <c r="AD25">
        <v>67</v>
      </c>
      <c r="AE25">
        <v>0.86206896551724099</v>
      </c>
      <c r="AF25">
        <v>25</v>
      </c>
      <c r="AG25">
        <v>0.13793103448275801</v>
      </c>
      <c r="AH25">
        <v>4</v>
      </c>
      <c r="AI25">
        <v>1.47058823529411E-2</v>
      </c>
      <c r="AJ25">
        <v>1</v>
      </c>
      <c r="AK25">
        <v>0.72826086956521696</v>
      </c>
      <c r="AL25">
        <v>0.98529411764705799</v>
      </c>
      <c r="AM25">
        <v>0.83750000000000002</v>
      </c>
      <c r="AN25">
        <v>0.255137268967909</v>
      </c>
      <c r="AO25">
        <v>0.54361054766734196</v>
      </c>
      <c r="AP25">
        <v>0.72071594990451704</v>
      </c>
      <c r="AQ25">
        <v>0.731958762886597</v>
      </c>
      <c r="AR25">
        <v>0.60873361075678001</v>
      </c>
      <c r="AS25">
        <v>0.39126638924321899</v>
      </c>
      <c r="AT25">
        <v>0.268041237113402</v>
      </c>
      <c r="AU25">
        <v>0.749708650829224</v>
      </c>
      <c r="AV25">
        <v>0.731958762886597</v>
      </c>
      <c r="AW25">
        <v>0.65745906610066696</v>
      </c>
      <c r="AX25">
        <v>0.255137268967909</v>
      </c>
      <c r="AY25">
        <v>0.54361054766734196</v>
      </c>
      <c r="AZ25">
        <v>0.61809095076099996</v>
      </c>
      <c r="BA25">
        <v>0.53639705882352895</v>
      </c>
      <c r="BB25">
        <v>0.731958762886597</v>
      </c>
      <c r="BC25">
        <v>0</v>
      </c>
      <c r="BD25">
        <v>0</v>
      </c>
      <c r="BE25" s="1">
        <v>4.8299999999999998E-4</v>
      </c>
      <c r="BF25" s="1">
        <v>1.13E-4</v>
      </c>
      <c r="BG25">
        <v>0.48299999999999998</v>
      </c>
      <c r="BH25">
        <v>0.113</v>
      </c>
      <c r="BI25">
        <v>5712</v>
      </c>
      <c r="BJ25">
        <v>23725</v>
      </c>
      <c r="BK25">
        <v>13697</v>
      </c>
      <c r="BL25">
        <v>100</v>
      </c>
      <c r="BM25">
        <v>100</v>
      </c>
      <c r="BN25" t="s">
        <v>75</v>
      </c>
      <c r="BO25">
        <v>6</v>
      </c>
      <c r="BP25">
        <v>4</v>
      </c>
      <c r="BQ25">
        <v>4</v>
      </c>
    </row>
    <row r="26" spans="1:69" x14ac:dyDescent="0.2">
      <c r="A26" t="s">
        <v>69</v>
      </c>
      <c r="B26">
        <v>25</v>
      </c>
      <c r="C26" t="s">
        <v>70</v>
      </c>
      <c r="D26" t="s">
        <v>71</v>
      </c>
      <c r="E26">
        <v>-2.17733168393644E+17</v>
      </c>
      <c r="F26" s="1">
        <v>20250406.221099999</v>
      </c>
      <c r="G26">
        <v>188</v>
      </c>
      <c r="H26">
        <v>98</v>
      </c>
      <c r="I26">
        <v>76</v>
      </c>
      <c r="J26">
        <v>22</v>
      </c>
      <c r="K26">
        <v>0</v>
      </c>
      <c r="L26">
        <v>77.551020408163197</v>
      </c>
      <c r="M26">
        <v>22.4489795918367</v>
      </c>
      <c r="N26">
        <v>0</v>
      </c>
      <c r="O26">
        <v>0.326670830730793</v>
      </c>
      <c r="P26">
        <v>0.35621582053774598</v>
      </c>
      <c r="Q26">
        <v>0.42124565508782602</v>
      </c>
      <c r="R26">
        <v>85.144269299266298</v>
      </c>
      <c r="S26">
        <v>92.282766037489907</v>
      </c>
      <c r="T26">
        <v>85.877551156073196</v>
      </c>
      <c r="U26">
        <v>76.511569406349906</v>
      </c>
      <c r="V26">
        <v>9.3659817497232396</v>
      </c>
      <c r="W26">
        <v>0.87630154240891001</v>
      </c>
      <c r="X26">
        <v>0.78073030006479505</v>
      </c>
      <c r="Y26">
        <v>9.5571242344114696E-2</v>
      </c>
      <c r="Z26">
        <v>14.470839723154301</v>
      </c>
      <c r="AA26">
        <v>0.14766162982810499</v>
      </c>
      <c r="AB26">
        <v>16.850550031235802</v>
      </c>
      <c r="AC26">
        <v>0.98550724637681097</v>
      </c>
      <c r="AD26">
        <v>68</v>
      </c>
      <c r="AE26">
        <v>0.72413793103448199</v>
      </c>
      <c r="AF26">
        <v>21</v>
      </c>
      <c r="AG26">
        <v>0.27586206896551702</v>
      </c>
      <c r="AH26">
        <v>8</v>
      </c>
      <c r="AI26">
        <v>1.4492753623188401E-2</v>
      </c>
      <c r="AJ26">
        <v>1</v>
      </c>
      <c r="AK26">
        <v>0.76404494382022403</v>
      </c>
      <c r="AL26">
        <v>0.98550724637681097</v>
      </c>
      <c r="AM26">
        <v>0.860759493670886</v>
      </c>
      <c r="AN26">
        <v>0.41310636501877201</v>
      </c>
      <c r="AO26">
        <v>0.62143928035981999</v>
      </c>
      <c r="AP26">
        <v>0.75876396977213501</v>
      </c>
      <c r="AQ26">
        <v>0.77551020408163196</v>
      </c>
      <c r="AR26">
        <v>0.51414088873930297</v>
      </c>
      <c r="AS26">
        <v>0.48585911126069597</v>
      </c>
      <c r="AT26">
        <v>0.22448979591836701</v>
      </c>
      <c r="AU26">
        <v>0.80098856021809395</v>
      </c>
      <c r="AV26">
        <v>0.77551020408163196</v>
      </c>
      <c r="AW26">
        <v>0.73064215692939405</v>
      </c>
      <c r="AX26">
        <v>0.41310636501877201</v>
      </c>
      <c r="AY26">
        <v>0.62143928035981999</v>
      </c>
      <c r="AZ26">
        <v>0.67266946263585303</v>
      </c>
      <c r="BA26">
        <v>0.64090606262491601</v>
      </c>
      <c r="BB26">
        <v>0.77551020408163196</v>
      </c>
      <c r="BC26">
        <v>0</v>
      </c>
      <c r="BD26">
        <v>0</v>
      </c>
      <c r="BE26" s="1">
        <v>4.0999999999999999E-4</v>
      </c>
      <c r="BF26" s="1">
        <v>7.8999999999999996E-5</v>
      </c>
      <c r="BG26">
        <v>0.41</v>
      </c>
      <c r="BH26">
        <v>7.9000000000000001E-2</v>
      </c>
      <c r="BI26">
        <v>6440</v>
      </c>
      <c r="BJ26">
        <v>23616</v>
      </c>
      <c r="BK26">
        <v>13806</v>
      </c>
      <c r="BL26">
        <v>100</v>
      </c>
      <c r="BM26">
        <v>100</v>
      </c>
      <c r="BN26" t="s">
        <v>88</v>
      </c>
      <c r="BO26">
        <v>10</v>
      </c>
      <c r="BP26">
        <v>6</v>
      </c>
      <c r="BQ26">
        <v>6</v>
      </c>
    </row>
    <row r="27" spans="1:69" x14ac:dyDescent="0.2">
      <c r="A27" t="s">
        <v>69</v>
      </c>
      <c r="B27">
        <v>26</v>
      </c>
      <c r="C27" t="s">
        <v>70</v>
      </c>
      <c r="D27" t="s">
        <v>71</v>
      </c>
      <c r="E27">
        <v>-2.17733168393644E+17</v>
      </c>
      <c r="F27" s="1">
        <v>20250406.221099999</v>
      </c>
      <c r="G27">
        <v>188</v>
      </c>
      <c r="H27">
        <v>98</v>
      </c>
      <c r="I27">
        <v>69</v>
      </c>
      <c r="J27">
        <v>29</v>
      </c>
      <c r="K27">
        <v>0</v>
      </c>
      <c r="L27">
        <v>70.408163265306101</v>
      </c>
      <c r="M27">
        <v>29.5918367346938</v>
      </c>
      <c r="N27">
        <v>0</v>
      </c>
      <c r="O27">
        <v>0.123380629241209</v>
      </c>
      <c r="P27">
        <v>0.38240796318527398</v>
      </c>
      <c r="Q27">
        <v>0.484559543341334</v>
      </c>
      <c r="R27">
        <v>91.404830224772795</v>
      </c>
      <c r="S27">
        <v>106.153011738668</v>
      </c>
      <c r="T27">
        <v>85.877551156073196</v>
      </c>
      <c r="U27">
        <v>5446.5869035305896</v>
      </c>
      <c r="V27">
        <v>-5360.7093523745198</v>
      </c>
      <c r="W27">
        <v>0.87630154240891001</v>
      </c>
      <c r="X27">
        <v>55.577417382965201</v>
      </c>
      <c r="Y27">
        <v>-54.701115840556298</v>
      </c>
      <c r="Z27">
        <v>6.4241177211306502</v>
      </c>
      <c r="AA27">
        <v>6.5552221644190306E-2</v>
      </c>
      <c r="AB27">
        <v>7.4805553193470802</v>
      </c>
      <c r="AC27">
        <v>0.92753623188405798</v>
      </c>
      <c r="AD27">
        <v>64</v>
      </c>
      <c r="AE27">
        <v>0.82758620689655105</v>
      </c>
      <c r="AF27">
        <v>24</v>
      </c>
      <c r="AG27">
        <v>0.17241379310344801</v>
      </c>
      <c r="AH27">
        <v>5</v>
      </c>
      <c r="AI27">
        <v>7.2463768115942004E-2</v>
      </c>
      <c r="AJ27">
        <v>5</v>
      </c>
      <c r="AK27">
        <v>0.72727272727272696</v>
      </c>
      <c r="AL27">
        <v>0.92753623188405798</v>
      </c>
      <c r="AM27">
        <v>0.81528662420382103</v>
      </c>
      <c r="AN27">
        <v>0.150717997498267</v>
      </c>
      <c r="AO27">
        <v>0.57971014492753603</v>
      </c>
      <c r="AP27">
        <v>0.74308748532350999</v>
      </c>
      <c r="AQ27">
        <v>0.70408163265306101</v>
      </c>
      <c r="AR27">
        <v>0.60413160766555496</v>
      </c>
      <c r="AS27">
        <v>0.39586839233444499</v>
      </c>
      <c r="AT27">
        <v>0.29591836734693799</v>
      </c>
      <c r="AU27">
        <v>0.660018552875695</v>
      </c>
      <c r="AV27">
        <v>0.70408163265306101</v>
      </c>
      <c r="AW27">
        <v>0.64990484189756204</v>
      </c>
      <c r="AX27">
        <v>0.150717997498267</v>
      </c>
      <c r="AY27">
        <v>0.57971014492753603</v>
      </c>
      <c r="AZ27">
        <v>0.62581295041207496</v>
      </c>
      <c r="BA27">
        <v>0.53584844030703904</v>
      </c>
      <c r="BB27">
        <v>0.70408163265306101</v>
      </c>
      <c r="BC27">
        <v>0</v>
      </c>
      <c r="BD27">
        <v>0</v>
      </c>
      <c r="BE27" s="1">
        <v>3.7800000000000003E-4</v>
      </c>
      <c r="BF27" s="1">
        <v>7.6000000000000004E-5</v>
      </c>
      <c r="BG27">
        <v>0.378</v>
      </c>
      <c r="BH27">
        <v>7.5999999999999998E-2</v>
      </c>
      <c r="BI27">
        <v>10908</v>
      </c>
      <c r="BJ27">
        <v>23616</v>
      </c>
      <c r="BK27">
        <v>13806</v>
      </c>
      <c r="BL27">
        <v>94.897959183673393</v>
      </c>
      <c r="BM27">
        <v>94.897959183673393</v>
      </c>
      <c r="BN27" t="s">
        <v>89</v>
      </c>
      <c r="BO27">
        <v>36</v>
      </c>
      <c r="BP27">
        <v>30</v>
      </c>
      <c r="BQ27">
        <v>30</v>
      </c>
    </row>
    <row r="28" spans="1:69" x14ac:dyDescent="0.2">
      <c r="A28" t="s">
        <v>69</v>
      </c>
      <c r="B28">
        <v>27</v>
      </c>
      <c r="C28" t="s">
        <v>70</v>
      </c>
      <c r="D28" t="s">
        <v>71</v>
      </c>
      <c r="E28">
        <v>-2.17733168393644E+17</v>
      </c>
      <c r="F28" s="1">
        <v>20250406.221099999</v>
      </c>
      <c r="G28">
        <v>189</v>
      </c>
      <c r="H28">
        <v>97</v>
      </c>
      <c r="I28">
        <v>66</v>
      </c>
      <c r="J28">
        <v>31</v>
      </c>
      <c r="K28">
        <v>0</v>
      </c>
      <c r="L28">
        <v>68.041237113402005</v>
      </c>
      <c r="M28">
        <v>31.958762886597899</v>
      </c>
      <c r="N28">
        <v>0</v>
      </c>
      <c r="O28">
        <v>8.35111246571167E-2</v>
      </c>
      <c r="P28">
        <v>0.40510630792672397</v>
      </c>
      <c r="Q28">
        <v>0.50647874440670404</v>
      </c>
      <c r="R28">
        <v>96.694209829404997</v>
      </c>
      <c r="S28">
        <v>110.631601938204</v>
      </c>
      <c r="T28">
        <v>85.362720957561507</v>
      </c>
      <c r="U28">
        <v>6528.4117994541903</v>
      </c>
      <c r="V28">
        <v>-6443.0490784966296</v>
      </c>
      <c r="W28">
        <v>0.88002805110888105</v>
      </c>
      <c r="X28">
        <v>67.303214427362803</v>
      </c>
      <c r="Y28">
        <v>-66.423186376253895</v>
      </c>
      <c r="Z28">
        <v>1.45954804345239</v>
      </c>
      <c r="AA28">
        <v>1.50468870459009E-2</v>
      </c>
      <c r="AB28">
        <v>1.70981902530732</v>
      </c>
      <c r="AC28">
        <v>0.89705882352941102</v>
      </c>
      <c r="AD28">
        <v>61</v>
      </c>
      <c r="AE28">
        <v>0.82758620689655105</v>
      </c>
      <c r="AF28">
        <v>24</v>
      </c>
      <c r="AG28">
        <v>0.17241379310344801</v>
      </c>
      <c r="AH28">
        <v>5</v>
      </c>
      <c r="AI28">
        <v>0.10294117647058799</v>
      </c>
      <c r="AJ28">
        <v>7</v>
      </c>
      <c r="AK28">
        <v>0.71764705882352897</v>
      </c>
      <c r="AL28">
        <v>0.89705882352941102</v>
      </c>
      <c r="AM28">
        <v>0.79738562091503196</v>
      </c>
      <c r="AN28">
        <v>9.6597753387496502E-2</v>
      </c>
      <c r="AO28">
        <v>0.53904665314401601</v>
      </c>
      <c r="AP28">
        <v>0.71968887968456896</v>
      </c>
      <c r="AQ28">
        <v>0.68041237113401998</v>
      </c>
      <c r="AR28">
        <v>0.61093975450116</v>
      </c>
      <c r="AS28">
        <v>0.389060245498839</v>
      </c>
      <c r="AT28">
        <v>0.31958762886597902</v>
      </c>
      <c r="AU28">
        <v>0.62766323024054904</v>
      </c>
      <c r="AV28">
        <v>0.68041237113401998</v>
      </c>
      <c r="AW28">
        <v>0.63191126756628402</v>
      </c>
      <c r="AX28">
        <v>9.6597753387496502E-2</v>
      </c>
      <c r="AY28">
        <v>0.53904665314401601</v>
      </c>
      <c r="AZ28">
        <v>0.601230754661079</v>
      </c>
      <c r="BA28">
        <v>0.52064402996971104</v>
      </c>
      <c r="BB28">
        <v>0.68041237113401998</v>
      </c>
      <c r="BC28">
        <v>1E-3</v>
      </c>
      <c r="BD28">
        <v>0</v>
      </c>
      <c r="BE28" s="1">
        <v>5.0799999999999999E-4</v>
      </c>
      <c r="BF28" s="1">
        <v>8.3999999999999995E-5</v>
      </c>
      <c r="BG28">
        <v>0.50800000000000001</v>
      </c>
      <c r="BH28">
        <v>8.4000000000000005E-2</v>
      </c>
      <c r="BI28">
        <v>7314</v>
      </c>
      <c r="BJ28">
        <v>23725</v>
      </c>
      <c r="BK28">
        <v>13697</v>
      </c>
      <c r="BL28">
        <v>91.752577319587601</v>
      </c>
      <c r="BM28">
        <v>93.298969072164894</v>
      </c>
      <c r="BN28" t="s">
        <v>90</v>
      </c>
      <c r="BO28">
        <v>15</v>
      </c>
      <c r="BP28">
        <v>10</v>
      </c>
      <c r="BQ28">
        <v>10</v>
      </c>
    </row>
    <row r="29" spans="1:69" x14ac:dyDescent="0.2">
      <c r="A29" t="s">
        <v>69</v>
      </c>
      <c r="B29">
        <v>28</v>
      </c>
      <c r="C29" t="s">
        <v>70</v>
      </c>
      <c r="D29" t="s">
        <v>71</v>
      </c>
      <c r="E29">
        <v>-2.17733168393644E+17</v>
      </c>
      <c r="F29" s="1">
        <v>20250406.221099999</v>
      </c>
      <c r="G29">
        <v>189</v>
      </c>
      <c r="H29">
        <v>97</v>
      </c>
      <c r="I29">
        <v>72</v>
      </c>
      <c r="J29">
        <v>25</v>
      </c>
      <c r="K29">
        <v>0</v>
      </c>
      <c r="L29">
        <v>74.226804123711304</v>
      </c>
      <c r="M29">
        <v>25.7731958762886</v>
      </c>
      <c r="N29">
        <v>0</v>
      </c>
      <c r="O29">
        <v>0.26089606827186801</v>
      </c>
      <c r="P29">
        <v>0.370129203998524</v>
      </c>
      <c r="Q29">
        <v>0.43893305680934602</v>
      </c>
      <c r="R29">
        <v>88.345577975787904</v>
      </c>
      <c r="S29">
        <v>95.877404046510094</v>
      </c>
      <c r="T29">
        <v>85.362720957561507</v>
      </c>
      <c r="U29">
        <v>80.459666084903702</v>
      </c>
      <c r="V29">
        <v>4.9030548726578003</v>
      </c>
      <c r="W29">
        <v>0.88002805110888205</v>
      </c>
      <c r="X29">
        <v>0.82948109365880096</v>
      </c>
      <c r="Y29">
        <v>5.05469574500804E-2</v>
      </c>
      <c r="Z29">
        <v>11.0457731993101</v>
      </c>
      <c r="AA29">
        <v>0.113873950508352</v>
      </c>
      <c r="AB29">
        <v>12.939809175953499</v>
      </c>
      <c r="AC29">
        <v>0.94117647058823495</v>
      </c>
      <c r="AD29">
        <v>64</v>
      </c>
      <c r="AE29">
        <v>0.72413793103448199</v>
      </c>
      <c r="AF29">
        <v>21</v>
      </c>
      <c r="AG29">
        <v>0.27586206896551702</v>
      </c>
      <c r="AH29">
        <v>8</v>
      </c>
      <c r="AI29">
        <v>5.8823529411764698E-2</v>
      </c>
      <c r="AJ29">
        <v>4</v>
      </c>
      <c r="AK29">
        <v>0.752941176470588</v>
      </c>
      <c r="AL29">
        <v>0.94117647058823495</v>
      </c>
      <c r="AM29">
        <v>0.83660130718954195</v>
      </c>
      <c r="AN29">
        <v>0.30177984269962399</v>
      </c>
      <c r="AO29">
        <v>0.62525354969573999</v>
      </c>
      <c r="AP29">
        <v>0.75860189213089002</v>
      </c>
      <c r="AQ29">
        <v>0.74226804123711299</v>
      </c>
      <c r="AR29">
        <v>0.52522950168336002</v>
      </c>
      <c r="AS29">
        <v>0.47477049831663898</v>
      </c>
      <c r="AT29">
        <v>0.25773195876288602</v>
      </c>
      <c r="AU29">
        <v>0.72714776632302403</v>
      </c>
      <c r="AV29">
        <v>0.74226804123711299</v>
      </c>
      <c r="AW29">
        <v>0.70315424803732496</v>
      </c>
      <c r="AX29">
        <v>0.30177984269962399</v>
      </c>
      <c r="AY29">
        <v>0.62525354969573999</v>
      </c>
      <c r="AZ29">
        <v>0.65846529761475803</v>
      </c>
      <c r="BA29">
        <v>0.61342260481428301</v>
      </c>
      <c r="BB29">
        <v>0.74226804123711299</v>
      </c>
      <c r="BC29">
        <v>1E-3</v>
      </c>
      <c r="BD29">
        <v>0</v>
      </c>
      <c r="BE29" s="1">
        <v>6.1600000000000001E-4</v>
      </c>
      <c r="BF29" s="1">
        <v>8.3999999999999995E-5</v>
      </c>
      <c r="BG29">
        <v>0.61599999999999999</v>
      </c>
      <c r="BH29">
        <v>8.4000000000000005E-2</v>
      </c>
      <c r="BI29">
        <v>5712</v>
      </c>
      <c r="BJ29">
        <v>23725</v>
      </c>
      <c r="BK29">
        <v>13697</v>
      </c>
      <c r="BL29">
        <v>100</v>
      </c>
      <c r="BM29">
        <v>100</v>
      </c>
      <c r="BN29" t="s">
        <v>75</v>
      </c>
      <c r="BO29">
        <v>6</v>
      </c>
      <c r="BP29">
        <v>4</v>
      </c>
      <c r="BQ29">
        <v>4</v>
      </c>
    </row>
    <row r="30" spans="1:69" x14ac:dyDescent="0.2">
      <c r="A30" t="s">
        <v>69</v>
      </c>
      <c r="B30">
        <v>29</v>
      </c>
      <c r="C30" t="s">
        <v>70</v>
      </c>
      <c r="D30" t="s">
        <v>71</v>
      </c>
      <c r="E30">
        <v>-2.17733168393644E+17</v>
      </c>
      <c r="F30" s="1">
        <v>20250406.221099999</v>
      </c>
      <c r="G30">
        <v>189</v>
      </c>
      <c r="H30">
        <v>97</v>
      </c>
      <c r="I30">
        <v>65</v>
      </c>
      <c r="J30">
        <v>32</v>
      </c>
      <c r="K30">
        <v>0</v>
      </c>
      <c r="L30">
        <v>67.010309278350505</v>
      </c>
      <c r="M30">
        <v>32.989690721649403</v>
      </c>
      <c r="N30">
        <v>0</v>
      </c>
      <c r="O30">
        <v>0.107019562715765</v>
      </c>
      <c r="P30">
        <v>0.39332900857937603</v>
      </c>
      <c r="Q30">
        <v>0.50254251758291502</v>
      </c>
      <c r="R30">
        <v>93.883104122006102</v>
      </c>
      <c r="S30">
        <v>109.771800645618</v>
      </c>
      <c r="T30">
        <v>85.362720957561507</v>
      </c>
      <c r="U30">
        <v>8663.4902074401507</v>
      </c>
      <c r="V30">
        <v>-8578.12748648259</v>
      </c>
      <c r="W30">
        <v>0.88002805110888205</v>
      </c>
      <c r="X30">
        <v>89.314332035465497</v>
      </c>
      <c r="Y30">
        <v>-88.434303984356603</v>
      </c>
      <c r="Z30">
        <v>5.0525517652686096</v>
      </c>
      <c r="AA30">
        <v>5.2088162528542301E-2</v>
      </c>
      <c r="AB30">
        <v>5.9189207051875696</v>
      </c>
      <c r="AC30">
        <v>0.85294117647058798</v>
      </c>
      <c r="AD30">
        <v>58</v>
      </c>
      <c r="AE30">
        <v>0.75862068965517204</v>
      </c>
      <c r="AF30">
        <v>22</v>
      </c>
      <c r="AG30">
        <v>0.24137931034482701</v>
      </c>
      <c r="AH30">
        <v>7</v>
      </c>
      <c r="AI30">
        <v>0.14705882352941099</v>
      </c>
      <c r="AJ30">
        <v>10</v>
      </c>
      <c r="AK30">
        <v>0.72499999999999998</v>
      </c>
      <c r="AL30">
        <v>0.85294117647058798</v>
      </c>
      <c r="AM30">
        <v>0.78378378378378299</v>
      </c>
      <c r="AN30">
        <v>0.113576906270556</v>
      </c>
      <c r="AO30">
        <v>0.57454361054766701</v>
      </c>
      <c r="AP30">
        <v>0.73596211292101299</v>
      </c>
      <c r="AQ30">
        <v>0.67010309278350499</v>
      </c>
      <c r="AR30">
        <v>0.57578260596808895</v>
      </c>
      <c r="AS30">
        <v>0.42421739403191</v>
      </c>
      <c r="AT30">
        <v>0.32989690721649401</v>
      </c>
      <c r="AU30">
        <v>0.63135233474833197</v>
      </c>
      <c r="AV30">
        <v>0.67010309278350499</v>
      </c>
      <c r="AW30">
        <v>0.64044726034864896</v>
      </c>
      <c r="AX30">
        <v>0.113576906270556</v>
      </c>
      <c r="AY30">
        <v>0.57454361054766701</v>
      </c>
      <c r="AZ30">
        <v>0.62711502366851801</v>
      </c>
      <c r="BA30">
        <v>0.54406580493537005</v>
      </c>
      <c r="BB30">
        <v>0.67010309278350499</v>
      </c>
      <c r="BC30">
        <v>0</v>
      </c>
      <c r="BD30">
        <v>1E-3</v>
      </c>
      <c r="BE30" s="1">
        <v>3.7100000000000002E-4</v>
      </c>
      <c r="BF30" s="1">
        <v>8.2000000000000001E-5</v>
      </c>
      <c r="BG30">
        <v>0.371</v>
      </c>
      <c r="BH30">
        <v>8.2000000000000003E-2</v>
      </c>
      <c r="BI30">
        <v>9354</v>
      </c>
      <c r="BJ30">
        <v>23725</v>
      </c>
      <c r="BK30">
        <v>13697</v>
      </c>
      <c r="BL30">
        <v>91.752577319587601</v>
      </c>
      <c r="BM30">
        <v>93.298969072164894</v>
      </c>
      <c r="BN30" t="s">
        <v>91</v>
      </c>
      <c r="BO30">
        <v>27</v>
      </c>
      <c r="BP30">
        <v>22</v>
      </c>
      <c r="BQ30">
        <v>22</v>
      </c>
    </row>
    <row r="31" spans="1:69" x14ac:dyDescent="0.2">
      <c r="A31" t="s">
        <v>69</v>
      </c>
      <c r="B31">
        <v>30</v>
      </c>
      <c r="C31" t="s">
        <v>70</v>
      </c>
      <c r="D31" t="s">
        <v>71</v>
      </c>
      <c r="E31">
        <v>-2.17733168393644E+17</v>
      </c>
      <c r="F31" s="1">
        <v>20250406.221099999</v>
      </c>
      <c r="G31">
        <v>189</v>
      </c>
      <c r="H31">
        <v>97</v>
      </c>
      <c r="I31">
        <v>64</v>
      </c>
      <c r="J31">
        <v>33</v>
      </c>
      <c r="K31">
        <v>0</v>
      </c>
      <c r="L31">
        <v>65.979381443298905</v>
      </c>
      <c r="M31">
        <v>34.020618556701002</v>
      </c>
      <c r="N31">
        <v>0</v>
      </c>
      <c r="O31">
        <v>2.4382810118866002E-2</v>
      </c>
      <c r="P31">
        <v>0.39377327071678497</v>
      </c>
      <c r="Q31">
        <v>0.48201808496778298</v>
      </c>
      <c r="R31">
        <v>93.989144377349604</v>
      </c>
      <c r="S31">
        <v>105.288590078224</v>
      </c>
      <c r="T31">
        <v>85.362720957561507</v>
      </c>
      <c r="U31">
        <v>93.959782159835498</v>
      </c>
      <c r="V31">
        <v>-8.5970612022739896</v>
      </c>
      <c r="W31">
        <v>0.88002805110888205</v>
      </c>
      <c r="X31">
        <v>0.96865754803954096</v>
      </c>
      <c r="Y31">
        <v>-8.8629496930659704E-2</v>
      </c>
      <c r="Z31">
        <v>3.4781664269113302</v>
      </c>
      <c r="AA31">
        <v>3.5857385844446699E-2</v>
      </c>
      <c r="AB31">
        <v>4.0745730547184902</v>
      </c>
      <c r="AC31">
        <v>0.88235294117647001</v>
      </c>
      <c r="AD31">
        <v>60</v>
      </c>
      <c r="AE31">
        <v>0.86206896551724099</v>
      </c>
      <c r="AF31">
        <v>25</v>
      </c>
      <c r="AG31">
        <v>0.13793103448275801</v>
      </c>
      <c r="AH31">
        <v>4</v>
      </c>
      <c r="AI31">
        <v>0.11764705882352899</v>
      </c>
      <c r="AJ31">
        <v>8</v>
      </c>
      <c r="AK31">
        <v>0.70588235294117596</v>
      </c>
      <c r="AL31">
        <v>0.88235294117647001</v>
      </c>
      <c r="AM31">
        <v>0.78431372549019596</v>
      </c>
      <c r="AN31">
        <v>2.8203723616787298E-2</v>
      </c>
      <c r="AO31">
        <v>0.61688640973630804</v>
      </c>
      <c r="AP31">
        <v>0.76665071958581499</v>
      </c>
      <c r="AQ31">
        <v>0.65979381443298901</v>
      </c>
      <c r="AR31">
        <v>0.63950983877376</v>
      </c>
      <c r="AS31">
        <v>0.360490161226239</v>
      </c>
      <c r="AT31">
        <v>0.34020618556700999</v>
      </c>
      <c r="AU31">
        <v>0.59450171821305797</v>
      </c>
      <c r="AV31">
        <v>0.65979381443298901</v>
      </c>
      <c r="AW31">
        <v>0.608163607409269</v>
      </c>
      <c r="AX31">
        <v>2.8203723616787298E-2</v>
      </c>
      <c r="AY31">
        <v>0.61688640973630804</v>
      </c>
      <c r="AZ31">
        <v>0.645305564356777</v>
      </c>
      <c r="BA31">
        <v>0.489717838354854</v>
      </c>
      <c r="BB31">
        <v>0.65979381443298901</v>
      </c>
      <c r="BC31">
        <v>0</v>
      </c>
      <c r="BD31">
        <v>1E-3</v>
      </c>
      <c r="BE31" s="1">
        <v>4.2900000000000002E-4</v>
      </c>
      <c r="BF31" s="1">
        <v>8.8999999999999995E-5</v>
      </c>
      <c r="BG31">
        <v>0.42899999999999999</v>
      </c>
      <c r="BH31">
        <v>8.8999999999999996E-2</v>
      </c>
      <c r="BI31">
        <v>7946</v>
      </c>
      <c r="BJ31">
        <v>23725</v>
      </c>
      <c r="BK31">
        <v>13697</v>
      </c>
      <c r="BL31">
        <v>100</v>
      </c>
      <c r="BM31">
        <v>100</v>
      </c>
      <c r="BN31" t="s">
        <v>92</v>
      </c>
      <c r="BO31">
        <v>19</v>
      </c>
      <c r="BP31">
        <v>16</v>
      </c>
      <c r="BQ31">
        <v>16</v>
      </c>
    </row>
    <row r="32" spans="1:69" x14ac:dyDescent="0.2">
      <c r="A32" t="s">
        <v>69</v>
      </c>
      <c r="B32">
        <v>1</v>
      </c>
      <c r="C32" t="s">
        <v>93</v>
      </c>
      <c r="D32" t="s">
        <v>94</v>
      </c>
      <c r="E32">
        <v>-5.9906078170482104E+18</v>
      </c>
      <c r="F32" s="1">
        <v>20250406.221099999</v>
      </c>
      <c r="G32">
        <v>190</v>
      </c>
      <c r="H32">
        <v>96</v>
      </c>
      <c r="I32">
        <v>70</v>
      </c>
      <c r="J32">
        <v>26</v>
      </c>
      <c r="K32">
        <v>0</v>
      </c>
      <c r="L32">
        <v>72.9166666666666</v>
      </c>
      <c r="M32">
        <v>27.0833333333333</v>
      </c>
      <c r="N32">
        <v>0</v>
      </c>
      <c r="O32">
        <v>0.28440366972476999</v>
      </c>
      <c r="P32">
        <v>0.29597120038263502</v>
      </c>
      <c r="Q32">
        <v>0.49130151204959299</v>
      </c>
      <c r="R32">
        <v>70.885410154011595</v>
      </c>
      <c r="S32">
        <v>108.06171201869201</v>
      </c>
      <c r="T32">
        <v>83.638867254530396</v>
      </c>
      <c r="U32">
        <v>215.455978734485</v>
      </c>
      <c r="V32">
        <v>-131.81711147995401</v>
      </c>
      <c r="W32">
        <v>0.87123820056802503</v>
      </c>
      <c r="X32">
        <v>2.24433311181755</v>
      </c>
      <c r="Y32">
        <v>-1.3730949112495201</v>
      </c>
      <c r="Z32">
        <v>19.8986116851136</v>
      </c>
      <c r="AA32">
        <v>0.20727720505326699</v>
      </c>
      <c r="AB32">
        <v>23.791106142743502</v>
      </c>
      <c r="AC32">
        <v>0.86764705882352899</v>
      </c>
      <c r="AD32">
        <v>59</v>
      </c>
      <c r="AE32">
        <v>0.60714285714285698</v>
      </c>
      <c r="AF32">
        <v>17</v>
      </c>
      <c r="AG32">
        <v>0.39285714285714202</v>
      </c>
      <c r="AH32">
        <v>11</v>
      </c>
      <c r="AI32">
        <v>0.13235294117647001</v>
      </c>
      <c r="AJ32">
        <v>9</v>
      </c>
      <c r="AK32">
        <v>0.77631578947368396</v>
      </c>
      <c r="AL32">
        <v>0.86764705882352899</v>
      </c>
      <c r="AM32">
        <v>0.81944444444444398</v>
      </c>
      <c r="AN32">
        <v>0.29155897213538101</v>
      </c>
      <c r="AO32">
        <v>0.630252100840336</v>
      </c>
      <c r="AP32">
        <v>0.77603908603899097</v>
      </c>
      <c r="AQ32">
        <v>0.72916666666666596</v>
      </c>
      <c r="AR32">
        <v>0.46866246498599401</v>
      </c>
      <c r="AS32">
        <v>0.53133753501400505</v>
      </c>
      <c r="AT32">
        <v>0.27083333333333298</v>
      </c>
      <c r="AU32">
        <v>0.71030701754385905</v>
      </c>
      <c r="AV32">
        <v>0.72916666666666596</v>
      </c>
      <c r="AW32">
        <v>0.71412037037037002</v>
      </c>
      <c r="AX32">
        <v>0.29155897213538101</v>
      </c>
      <c r="AY32">
        <v>0.630252100840336</v>
      </c>
      <c r="AZ32">
        <v>0.68878101631656097</v>
      </c>
      <c r="BA32">
        <v>0.63888888888888795</v>
      </c>
      <c r="BB32">
        <v>0.72916666666666596</v>
      </c>
      <c r="BC32">
        <v>1.266</v>
      </c>
      <c r="BD32">
        <v>2E-3</v>
      </c>
      <c r="BE32">
        <v>1.2584379999999999</v>
      </c>
      <c r="BF32">
        <v>1.415E-3</v>
      </c>
      <c r="BG32">
        <v>1258.4380000000001</v>
      </c>
      <c r="BH32">
        <v>1.415</v>
      </c>
      <c r="BI32">
        <v>86241</v>
      </c>
      <c r="BJ32">
        <v>23834</v>
      </c>
      <c r="BK32">
        <v>13588</v>
      </c>
      <c r="BL32">
        <v>83.3333333333333</v>
      </c>
      <c r="BM32">
        <v>64.0625</v>
      </c>
      <c r="BN32" t="s">
        <v>95</v>
      </c>
      <c r="BO32" t="s">
        <v>95</v>
      </c>
      <c r="BP32" t="s">
        <v>95</v>
      </c>
      <c r="BQ32" t="s">
        <v>95</v>
      </c>
    </row>
    <row r="33" spans="1:69" x14ac:dyDescent="0.2">
      <c r="A33" t="s">
        <v>69</v>
      </c>
      <c r="B33">
        <v>2</v>
      </c>
      <c r="C33" t="s">
        <v>93</v>
      </c>
      <c r="D33" t="s">
        <v>94</v>
      </c>
      <c r="E33">
        <v>-5.9906078170482104E+18</v>
      </c>
      <c r="F33" s="1">
        <v>20250406.221099999</v>
      </c>
      <c r="G33">
        <v>188</v>
      </c>
      <c r="H33">
        <v>98</v>
      </c>
      <c r="I33">
        <v>66</v>
      </c>
      <c r="J33">
        <v>32</v>
      </c>
      <c r="K33">
        <v>0</v>
      </c>
      <c r="L33">
        <v>67.346938775510196</v>
      </c>
      <c r="M33">
        <v>32.653061224489797</v>
      </c>
      <c r="N33">
        <v>0</v>
      </c>
      <c r="O33">
        <v>0.183758459135866</v>
      </c>
      <c r="P33">
        <v>0.325958870260735</v>
      </c>
      <c r="Q33">
        <v>0.52603770310460396</v>
      </c>
      <c r="R33">
        <v>77.912120208663495</v>
      </c>
      <c r="S33">
        <v>115.239679498604</v>
      </c>
      <c r="T33">
        <v>85.877551156073196</v>
      </c>
      <c r="U33">
        <v>186.34920711369799</v>
      </c>
      <c r="V33">
        <v>-100.471655957625</v>
      </c>
      <c r="W33">
        <v>0.87630154240891001</v>
      </c>
      <c r="X33">
        <v>1.90152252156835</v>
      </c>
      <c r="Y33">
        <v>-1.02522097915943</v>
      </c>
      <c r="Z33">
        <v>14.0009890531267</v>
      </c>
      <c r="AA33">
        <v>0.14286723523598699</v>
      </c>
      <c r="AB33">
        <v>16.303433044663102</v>
      </c>
      <c r="AC33">
        <v>0.79710144927536197</v>
      </c>
      <c r="AD33">
        <v>55</v>
      </c>
      <c r="AE33">
        <v>0.62068965517241304</v>
      </c>
      <c r="AF33">
        <v>18</v>
      </c>
      <c r="AG33">
        <v>0.37931034482758602</v>
      </c>
      <c r="AH33">
        <v>11</v>
      </c>
      <c r="AI33">
        <v>0.202898550724637</v>
      </c>
      <c r="AJ33">
        <v>14</v>
      </c>
      <c r="AK33">
        <v>0.75342465753424603</v>
      </c>
      <c r="AL33">
        <v>0.79710144927536197</v>
      </c>
      <c r="AM33">
        <v>0.77464788732394296</v>
      </c>
      <c r="AN33">
        <v>0.18472246982802201</v>
      </c>
      <c r="AO33">
        <v>0.64317841079460203</v>
      </c>
      <c r="AP33">
        <v>0.79425423659567795</v>
      </c>
      <c r="AQ33">
        <v>0.67346938775510201</v>
      </c>
      <c r="AR33">
        <v>0.49705759365215302</v>
      </c>
      <c r="AS33">
        <v>0.50294240634784604</v>
      </c>
      <c r="AT33">
        <v>0.32653061224489699</v>
      </c>
      <c r="AU33">
        <v>0.66067654459043901</v>
      </c>
      <c r="AV33">
        <v>0.67346938775510201</v>
      </c>
      <c r="AW33">
        <v>0.66597468408333604</v>
      </c>
      <c r="AX33">
        <v>0.18472246982802201</v>
      </c>
      <c r="AY33">
        <v>0.64317841079460203</v>
      </c>
      <c r="AZ33">
        <v>0.69837284351038498</v>
      </c>
      <c r="BA33">
        <v>0.59102764736567504</v>
      </c>
      <c r="BB33">
        <v>0.67346938775510201</v>
      </c>
      <c r="BC33">
        <v>1.2430000000000001</v>
      </c>
      <c r="BD33">
        <v>1E-3</v>
      </c>
      <c r="BE33">
        <v>1.237338</v>
      </c>
      <c r="BF33">
        <v>1.3060000000000001E-3</v>
      </c>
      <c r="BG33">
        <v>1237.338</v>
      </c>
      <c r="BH33">
        <v>1.306</v>
      </c>
      <c r="BI33">
        <v>86241</v>
      </c>
      <c r="BJ33">
        <v>23616</v>
      </c>
      <c r="BK33">
        <v>13806</v>
      </c>
      <c r="BL33">
        <v>83.673469387755105</v>
      </c>
      <c r="BM33">
        <v>65.816326530612201</v>
      </c>
      <c r="BN33" t="s">
        <v>95</v>
      </c>
      <c r="BO33" t="s">
        <v>95</v>
      </c>
      <c r="BP33" t="s">
        <v>95</v>
      </c>
      <c r="BQ33" t="s">
        <v>95</v>
      </c>
    </row>
    <row r="34" spans="1:69" x14ac:dyDescent="0.2">
      <c r="A34" t="s">
        <v>69</v>
      </c>
      <c r="B34">
        <v>3</v>
      </c>
      <c r="C34" t="s">
        <v>93</v>
      </c>
      <c r="D34" t="s">
        <v>94</v>
      </c>
      <c r="E34">
        <v>-5.9906078170482104E+18</v>
      </c>
      <c r="F34" s="1">
        <v>20250406.221099999</v>
      </c>
      <c r="G34">
        <v>190</v>
      </c>
      <c r="H34">
        <v>96</v>
      </c>
      <c r="I34">
        <v>65</v>
      </c>
      <c r="J34">
        <v>31</v>
      </c>
      <c r="K34">
        <v>0</v>
      </c>
      <c r="L34">
        <v>67.7083333333333</v>
      </c>
      <c r="M34">
        <v>32.2916666666666</v>
      </c>
      <c r="N34">
        <v>0</v>
      </c>
      <c r="O34">
        <v>0.25748502994011901</v>
      </c>
      <c r="P34">
        <v>0.328507320644981</v>
      </c>
      <c r="Q34">
        <v>0.52666601418444303</v>
      </c>
      <c r="R34">
        <v>78.677844778174304</v>
      </c>
      <c r="S34">
        <v>115.840130264217</v>
      </c>
      <c r="T34">
        <v>83.638867254530396</v>
      </c>
      <c r="U34">
        <v>204.87830182707501</v>
      </c>
      <c r="V34">
        <v>-121.239434572544</v>
      </c>
      <c r="W34">
        <v>0.87123820056802503</v>
      </c>
      <c r="X34">
        <v>2.1341489773653599</v>
      </c>
      <c r="Y34">
        <v>-1.26291077679734</v>
      </c>
      <c r="Z34">
        <v>13.3283601924688</v>
      </c>
      <c r="AA34">
        <v>0.13883708533821701</v>
      </c>
      <c r="AB34">
        <v>15.9356058133927</v>
      </c>
      <c r="AC34">
        <v>0.73529411764705799</v>
      </c>
      <c r="AD34">
        <v>50</v>
      </c>
      <c r="AE34">
        <v>0.46428571428571402</v>
      </c>
      <c r="AF34">
        <v>13</v>
      </c>
      <c r="AG34">
        <v>0.53571428571428503</v>
      </c>
      <c r="AH34">
        <v>15</v>
      </c>
      <c r="AI34">
        <v>0.26470588235294101</v>
      </c>
      <c r="AJ34">
        <v>18</v>
      </c>
      <c r="AK34">
        <v>0.79365079365079305</v>
      </c>
      <c r="AL34">
        <v>0.73529411764705799</v>
      </c>
      <c r="AM34">
        <v>0.76335877862595403</v>
      </c>
      <c r="AN34">
        <v>0.25935163185131699</v>
      </c>
      <c r="AO34">
        <v>0.64180672268907502</v>
      </c>
      <c r="AP34">
        <v>0.80065279947149903</v>
      </c>
      <c r="AQ34">
        <v>0.67708333333333304</v>
      </c>
      <c r="AR34">
        <v>0.40607492997198802</v>
      </c>
      <c r="AS34">
        <v>0.59392507002801098</v>
      </c>
      <c r="AT34">
        <v>0.32291666666666602</v>
      </c>
      <c r="AU34">
        <v>0.694745069745069</v>
      </c>
      <c r="AV34">
        <v>0.67708333333333304</v>
      </c>
      <c r="AW34">
        <v>0.68415509114420303</v>
      </c>
      <c r="AX34">
        <v>0.25935163185131699</v>
      </c>
      <c r="AY34">
        <v>0.64180672268907502</v>
      </c>
      <c r="AZ34">
        <v>0.68660798650461996</v>
      </c>
      <c r="BA34">
        <v>0.62758102865723897</v>
      </c>
      <c r="BB34">
        <v>0.67708333333333304</v>
      </c>
      <c r="BC34">
        <v>1.333</v>
      </c>
      <c r="BD34">
        <v>2E-3</v>
      </c>
      <c r="BE34">
        <v>1.320214</v>
      </c>
      <c r="BF34">
        <v>1.0950000000000001E-3</v>
      </c>
      <c r="BG34">
        <v>1320.2139999999999</v>
      </c>
      <c r="BH34">
        <v>1.095</v>
      </c>
      <c r="BI34">
        <v>86241</v>
      </c>
      <c r="BJ34">
        <v>23834</v>
      </c>
      <c r="BK34">
        <v>13588</v>
      </c>
      <c r="BL34">
        <v>80.2083333333333</v>
      </c>
      <c r="BM34">
        <v>63.0208333333333</v>
      </c>
      <c r="BN34" t="s">
        <v>95</v>
      </c>
      <c r="BO34" t="s">
        <v>95</v>
      </c>
      <c r="BP34" t="s">
        <v>95</v>
      </c>
      <c r="BQ34" t="s">
        <v>95</v>
      </c>
    </row>
    <row r="35" spans="1:69" x14ac:dyDescent="0.2">
      <c r="A35" t="s">
        <v>69</v>
      </c>
      <c r="B35">
        <v>4</v>
      </c>
      <c r="C35" t="s">
        <v>93</v>
      </c>
      <c r="D35" t="s">
        <v>94</v>
      </c>
      <c r="E35">
        <v>-5.9906078170482104E+18</v>
      </c>
      <c r="F35" s="1">
        <v>20250406.221099999</v>
      </c>
      <c r="G35">
        <v>189</v>
      </c>
      <c r="H35">
        <v>97</v>
      </c>
      <c r="I35">
        <v>66</v>
      </c>
      <c r="J35">
        <v>31</v>
      </c>
      <c r="K35">
        <v>0</v>
      </c>
      <c r="L35">
        <v>68.041237113402005</v>
      </c>
      <c r="M35">
        <v>31.958762886597899</v>
      </c>
      <c r="N35">
        <v>0</v>
      </c>
      <c r="O35">
        <v>0.14452347083926001</v>
      </c>
      <c r="P35">
        <v>0.32676900393209402</v>
      </c>
      <c r="Q35">
        <v>0.51074895515399299</v>
      </c>
      <c r="R35">
        <v>77.995997627543304</v>
      </c>
      <c r="S35">
        <v>111.564356295229</v>
      </c>
      <c r="T35">
        <v>85.362720957561507</v>
      </c>
      <c r="U35">
        <v>176.10390014251001</v>
      </c>
      <c r="V35">
        <v>-90.741179184948905</v>
      </c>
      <c r="W35">
        <v>0.88002805110888205</v>
      </c>
      <c r="X35">
        <v>1.81550412518052</v>
      </c>
      <c r="Y35">
        <v>-0.93547607407163902</v>
      </c>
      <c r="Z35">
        <v>14.0290089954102</v>
      </c>
      <c r="AA35">
        <v>0.14462895871556899</v>
      </c>
      <c r="AB35">
        <v>16.4345850718428</v>
      </c>
      <c r="AC35">
        <v>0.85294117647058798</v>
      </c>
      <c r="AD35">
        <v>58</v>
      </c>
      <c r="AE35">
        <v>0.72413793103448199</v>
      </c>
      <c r="AF35">
        <v>21</v>
      </c>
      <c r="AG35">
        <v>0.27586206896551702</v>
      </c>
      <c r="AH35">
        <v>8</v>
      </c>
      <c r="AI35">
        <v>0.14705882352941099</v>
      </c>
      <c r="AJ35">
        <v>10</v>
      </c>
      <c r="AK35">
        <v>0.734177215189873</v>
      </c>
      <c r="AL35">
        <v>0.85294117647058798</v>
      </c>
      <c r="AM35">
        <v>0.78911564625850295</v>
      </c>
      <c r="AN35">
        <v>0.15168074850185601</v>
      </c>
      <c r="AO35">
        <v>0.60218052738336703</v>
      </c>
      <c r="AP35">
        <v>0.77787383076265304</v>
      </c>
      <c r="AQ35">
        <v>0.68041237113401998</v>
      </c>
      <c r="AR35">
        <v>0.55160912569791498</v>
      </c>
      <c r="AS35">
        <v>0.44839087430208402</v>
      </c>
      <c r="AT35">
        <v>0.31958762886597902</v>
      </c>
      <c r="AU35">
        <v>0.64755607754433198</v>
      </c>
      <c r="AV35">
        <v>0.68041237113401998</v>
      </c>
      <c r="AW35">
        <v>0.65497117908360902</v>
      </c>
      <c r="AX35">
        <v>0.15168074850185601</v>
      </c>
      <c r="AY35">
        <v>0.60218052738336703</v>
      </c>
      <c r="AZ35">
        <v>0.70228085218236602</v>
      </c>
      <c r="BA35">
        <v>0.56477058908669797</v>
      </c>
      <c r="BB35">
        <v>0.68041237113401998</v>
      </c>
      <c r="BC35">
        <v>1.381</v>
      </c>
      <c r="BD35">
        <v>1E-3</v>
      </c>
      <c r="BE35">
        <v>1.3124009999999999</v>
      </c>
      <c r="BF35">
        <v>1.0329999999999901E-3</v>
      </c>
      <c r="BG35">
        <v>1312.4010000000001</v>
      </c>
      <c r="BH35">
        <v>1.0329999999999999</v>
      </c>
      <c r="BI35">
        <v>86241</v>
      </c>
      <c r="BJ35">
        <v>23725</v>
      </c>
      <c r="BK35">
        <v>13697</v>
      </c>
      <c r="BL35">
        <v>83.505154639175203</v>
      </c>
      <c r="BM35">
        <v>68.041237113402005</v>
      </c>
      <c r="BN35" t="s">
        <v>95</v>
      </c>
      <c r="BO35" t="s">
        <v>95</v>
      </c>
      <c r="BP35" t="s">
        <v>95</v>
      </c>
      <c r="BQ35" t="s">
        <v>95</v>
      </c>
    </row>
    <row r="36" spans="1:69" x14ac:dyDescent="0.2">
      <c r="A36" t="s">
        <v>69</v>
      </c>
      <c r="B36">
        <v>5</v>
      </c>
      <c r="C36" t="s">
        <v>93</v>
      </c>
      <c r="D36" t="s">
        <v>94</v>
      </c>
      <c r="E36">
        <v>-5.9906078170482104E+18</v>
      </c>
      <c r="F36" s="1">
        <v>20250406.221099999</v>
      </c>
      <c r="G36">
        <v>189</v>
      </c>
      <c r="H36">
        <v>97</v>
      </c>
      <c r="I36">
        <v>65</v>
      </c>
      <c r="J36">
        <v>32</v>
      </c>
      <c r="K36">
        <v>0</v>
      </c>
      <c r="L36">
        <v>67.010309278350505</v>
      </c>
      <c r="M36">
        <v>32.989690721649403</v>
      </c>
      <c r="N36">
        <v>0</v>
      </c>
      <c r="O36">
        <v>0.19710294878427301</v>
      </c>
      <c r="P36">
        <v>0.33895014632838999</v>
      </c>
      <c r="Q36">
        <v>0.54524844368742698</v>
      </c>
      <c r="R36">
        <v>80.903496019403306</v>
      </c>
      <c r="S36">
        <v>119.10017833051199</v>
      </c>
      <c r="T36">
        <v>85.362720957561507</v>
      </c>
      <c r="U36">
        <v>191.90658345181899</v>
      </c>
      <c r="V36">
        <v>-106.543862494257</v>
      </c>
      <c r="W36">
        <v>0.88002805110888205</v>
      </c>
      <c r="X36">
        <v>1.9784183861012199</v>
      </c>
      <c r="Y36">
        <v>-1.0983903349923401</v>
      </c>
      <c r="Z36">
        <v>11.473341405148</v>
      </c>
      <c r="AA36">
        <v>0.11828187015616499</v>
      </c>
      <c r="AB36">
        <v>13.4406931696239</v>
      </c>
      <c r="AC36">
        <v>0.77941176470588203</v>
      </c>
      <c r="AD36">
        <v>53</v>
      </c>
      <c r="AE36">
        <v>0.58620689655172398</v>
      </c>
      <c r="AF36">
        <v>17</v>
      </c>
      <c r="AG36">
        <v>0.41379310344827502</v>
      </c>
      <c r="AH36">
        <v>12</v>
      </c>
      <c r="AI36">
        <v>0.220588235294117</v>
      </c>
      <c r="AJ36">
        <v>15</v>
      </c>
      <c r="AK36">
        <v>0.75714285714285701</v>
      </c>
      <c r="AL36">
        <v>0.77941176470588203</v>
      </c>
      <c r="AM36">
        <v>0.76811594202898503</v>
      </c>
      <c r="AN36">
        <v>0.19735158480419401</v>
      </c>
      <c r="AO36">
        <v>0.64477687626774804</v>
      </c>
      <c r="AP36">
        <v>0.82097153740665696</v>
      </c>
      <c r="AQ36">
        <v>0.67010309278350499</v>
      </c>
      <c r="AR36">
        <v>0.476898224629346</v>
      </c>
      <c r="AS36">
        <v>0.52310177537065305</v>
      </c>
      <c r="AT36">
        <v>0.32989690721649401</v>
      </c>
      <c r="AU36">
        <v>0.66365570283095998</v>
      </c>
      <c r="AV36">
        <v>0.67010309278350499</v>
      </c>
      <c r="AW36">
        <v>0.66660263388188001</v>
      </c>
      <c r="AX36">
        <v>0.19735158480419401</v>
      </c>
      <c r="AY36">
        <v>0.64477687626774804</v>
      </c>
      <c r="AZ36">
        <v>0.71192561370752805</v>
      </c>
      <c r="BA36">
        <v>0.59834368530020698</v>
      </c>
      <c r="BB36">
        <v>0.67010309278350499</v>
      </c>
      <c r="BC36">
        <v>1.341</v>
      </c>
      <c r="BD36">
        <v>1E-3</v>
      </c>
      <c r="BE36">
        <v>1.3222179999999999</v>
      </c>
      <c r="BF36">
        <v>1.0009999999999999E-3</v>
      </c>
      <c r="BG36">
        <v>1322.2180000000001</v>
      </c>
      <c r="BH36">
        <v>1.0009999999999999</v>
      </c>
      <c r="BI36">
        <v>86241</v>
      </c>
      <c r="BJ36">
        <v>23725</v>
      </c>
      <c r="BK36">
        <v>13697</v>
      </c>
      <c r="BL36">
        <v>78.350515463917503</v>
      </c>
      <c r="BM36">
        <v>61.855670103092699</v>
      </c>
      <c r="BN36" t="s">
        <v>95</v>
      </c>
      <c r="BO36" t="s">
        <v>95</v>
      </c>
      <c r="BP36" t="s">
        <v>95</v>
      </c>
      <c r="BQ36" t="s">
        <v>95</v>
      </c>
    </row>
    <row r="37" spans="1:69" x14ac:dyDescent="0.2">
      <c r="A37" t="s">
        <v>69</v>
      </c>
      <c r="B37">
        <v>6</v>
      </c>
      <c r="C37" t="s">
        <v>93</v>
      </c>
      <c r="D37" t="s">
        <v>94</v>
      </c>
      <c r="E37">
        <v>-5.9906078170482104E+18</v>
      </c>
      <c r="F37" s="1">
        <v>20250406.221099999</v>
      </c>
      <c r="G37">
        <v>189</v>
      </c>
      <c r="H37">
        <v>97</v>
      </c>
      <c r="I37">
        <v>65</v>
      </c>
      <c r="J37">
        <v>32</v>
      </c>
      <c r="K37">
        <v>0</v>
      </c>
      <c r="L37">
        <v>67.010309278350505</v>
      </c>
      <c r="M37">
        <v>32.989690721649403</v>
      </c>
      <c r="N37">
        <v>0</v>
      </c>
      <c r="O37">
        <v>0.228244654400795</v>
      </c>
      <c r="P37">
        <v>0.32482774584660501</v>
      </c>
      <c r="Q37">
        <v>0.51942299768521005</v>
      </c>
      <c r="R37">
        <v>77.532641681268501</v>
      </c>
      <c r="S37">
        <v>113.459052234805</v>
      </c>
      <c r="T37">
        <v>85.362720957561507</v>
      </c>
      <c r="U37">
        <v>179.05849543383599</v>
      </c>
      <c r="V37">
        <v>-93.695774476275204</v>
      </c>
      <c r="W37">
        <v>0.88002805110888205</v>
      </c>
      <c r="X37">
        <v>1.8459638704519199</v>
      </c>
      <c r="Y37">
        <v>-0.96593581934304296</v>
      </c>
      <c r="Z37">
        <v>14.6782045519038</v>
      </c>
      <c r="AA37">
        <v>0.15132169641137999</v>
      </c>
      <c r="AB37">
        <v>17.195099204020401</v>
      </c>
      <c r="AC37">
        <v>0.75</v>
      </c>
      <c r="AD37">
        <v>51</v>
      </c>
      <c r="AE37">
        <v>0.51724137931034397</v>
      </c>
      <c r="AF37">
        <v>15</v>
      </c>
      <c r="AG37">
        <v>0.48275862068965503</v>
      </c>
      <c r="AH37">
        <v>14</v>
      </c>
      <c r="AI37">
        <v>0.25</v>
      </c>
      <c r="AJ37">
        <v>17</v>
      </c>
      <c r="AK37">
        <v>0.77272727272727204</v>
      </c>
      <c r="AL37">
        <v>0.75</v>
      </c>
      <c r="AM37">
        <v>0.76119402985074602</v>
      </c>
      <c r="AN37">
        <v>0.228510634151046</v>
      </c>
      <c r="AO37">
        <v>0.66328600405679505</v>
      </c>
      <c r="AP37">
        <v>0.82509264480182098</v>
      </c>
      <c r="AQ37">
        <v>0.67010309278350499</v>
      </c>
      <c r="AR37">
        <v>0.43734447209385002</v>
      </c>
      <c r="AS37">
        <v>0.56265552790615003</v>
      </c>
      <c r="AT37">
        <v>0.32989690721649401</v>
      </c>
      <c r="AU37">
        <v>0.67672400761858598</v>
      </c>
      <c r="AV37">
        <v>0.67010309278350499</v>
      </c>
      <c r="AW37">
        <v>0.67313945735241298</v>
      </c>
      <c r="AX37">
        <v>0.228510634151046</v>
      </c>
      <c r="AY37">
        <v>0.66328600405679505</v>
      </c>
      <c r="AZ37">
        <v>0.72511654075429599</v>
      </c>
      <c r="BA37">
        <v>0.61393034825870596</v>
      </c>
      <c r="BB37">
        <v>0.67010309278350499</v>
      </c>
      <c r="BC37">
        <v>1.351</v>
      </c>
      <c r="BD37">
        <v>1E-3</v>
      </c>
      <c r="BE37">
        <v>1.3424739999999999</v>
      </c>
      <c r="BF37" s="1">
        <v>9.5299999999999996E-4</v>
      </c>
      <c r="BG37">
        <v>1342.4739999999999</v>
      </c>
      <c r="BH37">
        <v>0.95299999999999996</v>
      </c>
      <c r="BI37">
        <v>86241</v>
      </c>
      <c r="BJ37">
        <v>23725</v>
      </c>
      <c r="BK37">
        <v>13697</v>
      </c>
      <c r="BL37">
        <v>82.474226804123703</v>
      </c>
      <c r="BM37">
        <v>67.010309278350505</v>
      </c>
      <c r="BN37" t="s">
        <v>95</v>
      </c>
      <c r="BO37" t="s">
        <v>95</v>
      </c>
      <c r="BP37" t="s">
        <v>95</v>
      </c>
      <c r="BQ37" t="s">
        <v>95</v>
      </c>
    </row>
    <row r="38" spans="1:69" x14ac:dyDescent="0.2">
      <c r="A38" t="s">
        <v>69</v>
      </c>
      <c r="B38">
        <v>7</v>
      </c>
      <c r="C38" t="s">
        <v>93</v>
      </c>
      <c r="D38" t="s">
        <v>94</v>
      </c>
      <c r="E38">
        <v>-5.9906078170482104E+18</v>
      </c>
      <c r="F38" s="1">
        <v>20250406.221099999</v>
      </c>
      <c r="G38">
        <v>188</v>
      </c>
      <c r="H38">
        <v>98</v>
      </c>
      <c r="I38">
        <v>62</v>
      </c>
      <c r="J38">
        <v>36</v>
      </c>
      <c r="K38">
        <v>0</v>
      </c>
      <c r="L38">
        <v>63.265306122448898</v>
      </c>
      <c r="M38">
        <v>36.734693877551003</v>
      </c>
      <c r="N38">
        <v>0</v>
      </c>
      <c r="O38">
        <v>8.1728266527849994E-2</v>
      </c>
      <c r="P38">
        <v>0.38540996437988601</v>
      </c>
      <c r="Q38">
        <v>0.56913576713226099</v>
      </c>
      <c r="R38">
        <v>92.1223817298265</v>
      </c>
      <c r="S38">
        <v>124.681221533035</v>
      </c>
      <c r="T38">
        <v>85.877551156073196</v>
      </c>
      <c r="U38">
        <v>213.20018142902799</v>
      </c>
      <c r="V38">
        <v>-127.322630272955</v>
      </c>
      <c r="W38">
        <v>0.87630154240891001</v>
      </c>
      <c r="X38">
        <v>2.1755120553982499</v>
      </c>
      <c r="Y38">
        <v>-1.2992105129893401</v>
      </c>
      <c r="Z38">
        <v>1.5765137979411701</v>
      </c>
      <c r="AA38">
        <v>1.6086875489195601E-2</v>
      </c>
      <c r="AB38">
        <v>1.8357693910903701</v>
      </c>
      <c r="AC38">
        <v>0.76811594202898503</v>
      </c>
      <c r="AD38">
        <v>53</v>
      </c>
      <c r="AE38">
        <v>0.68965517241379304</v>
      </c>
      <c r="AF38">
        <v>20</v>
      </c>
      <c r="AG38">
        <v>0.31034482758620602</v>
      </c>
      <c r="AH38">
        <v>9</v>
      </c>
      <c r="AI38">
        <v>0.231884057971014</v>
      </c>
      <c r="AJ38">
        <v>16</v>
      </c>
      <c r="AK38">
        <v>0.72602739726027399</v>
      </c>
      <c r="AL38">
        <v>0.76811594202898503</v>
      </c>
      <c r="AM38">
        <v>0.74647887323943596</v>
      </c>
      <c r="AN38">
        <v>8.2157019158639003E-2</v>
      </c>
      <c r="AO38">
        <v>0.56046976511744095</v>
      </c>
      <c r="AP38">
        <v>0.74534867172661101</v>
      </c>
      <c r="AQ38">
        <v>0.63265306122448906</v>
      </c>
      <c r="AR38">
        <v>0.55419229160929695</v>
      </c>
      <c r="AS38">
        <v>0.445807708390702</v>
      </c>
      <c r="AT38">
        <v>0.36734693877551</v>
      </c>
      <c r="AU38">
        <v>0.61771316745876403</v>
      </c>
      <c r="AV38">
        <v>0.63265306122448906</v>
      </c>
      <c r="AW38">
        <v>0.62422151959375205</v>
      </c>
      <c r="AX38">
        <v>8.2157019158639003E-2</v>
      </c>
      <c r="AY38">
        <v>0.56046976511744095</v>
      </c>
      <c r="AZ38">
        <v>0.64706902281799095</v>
      </c>
      <c r="BA38">
        <v>0.539906103286384</v>
      </c>
      <c r="BB38">
        <v>0.63265306122448906</v>
      </c>
      <c r="BC38">
        <v>1.341</v>
      </c>
      <c r="BD38">
        <v>1E-3</v>
      </c>
      <c r="BE38">
        <v>1.32904</v>
      </c>
      <c r="BF38" s="1">
        <v>9.5699999999999995E-4</v>
      </c>
      <c r="BG38">
        <v>1329.04</v>
      </c>
      <c r="BH38">
        <v>0.95699999999999996</v>
      </c>
      <c r="BI38">
        <v>86241</v>
      </c>
      <c r="BJ38">
        <v>23616</v>
      </c>
      <c r="BK38">
        <v>13806</v>
      </c>
      <c r="BL38">
        <v>79.5918367346938</v>
      </c>
      <c r="BM38">
        <v>68.877551020408106</v>
      </c>
      <c r="BN38" t="s">
        <v>95</v>
      </c>
      <c r="BO38" t="s">
        <v>95</v>
      </c>
      <c r="BP38" t="s">
        <v>95</v>
      </c>
      <c r="BQ38" t="s">
        <v>95</v>
      </c>
    </row>
    <row r="39" spans="1:69" x14ac:dyDescent="0.2">
      <c r="A39" t="s">
        <v>69</v>
      </c>
      <c r="B39">
        <v>8</v>
      </c>
      <c r="C39" t="s">
        <v>93</v>
      </c>
      <c r="D39" t="s">
        <v>94</v>
      </c>
      <c r="E39">
        <v>-5.9906078170482104E+18</v>
      </c>
      <c r="F39" s="1">
        <v>20250406.2212</v>
      </c>
      <c r="G39">
        <v>188</v>
      </c>
      <c r="H39">
        <v>98</v>
      </c>
      <c r="I39">
        <v>67</v>
      </c>
      <c r="J39">
        <v>31</v>
      </c>
      <c r="K39">
        <v>0</v>
      </c>
      <c r="L39">
        <v>68.367346938775498</v>
      </c>
      <c r="M39">
        <v>31.632653061224399</v>
      </c>
      <c r="N39">
        <v>0</v>
      </c>
      <c r="O39">
        <v>0.23321554770318001</v>
      </c>
      <c r="P39">
        <v>0.341419540583561</v>
      </c>
      <c r="Q39">
        <v>0.51989113682336996</v>
      </c>
      <c r="R39">
        <v>81.6075975053392</v>
      </c>
      <c r="S39">
        <v>113.893144213992</v>
      </c>
      <c r="T39">
        <v>85.877551156073196</v>
      </c>
      <c r="U39">
        <v>217.31105057338701</v>
      </c>
      <c r="V39">
        <v>-131.43349941731401</v>
      </c>
      <c r="W39">
        <v>0.87630154240891001</v>
      </c>
      <c r="X39">
        <v>2.2174596997284399</v>
      </c>
      <c r="Y39">
        <v>-1.3411581573195299</v>
      </c>
      <c r="Z39">
        <v>10.889433333701099</v>
      </c>
      <c r="AA39">
        <v>0.111116666670419</v>
      </c>
      <c r="AB39">
        <v>12.6801861337554</v>
      </c>
      <c r="AC39">
        <v>0.78260869565217395</v>
      </c>
      <c r="AD39">
        <v>54</v>
      </c>
      <c r="AE39">
        <v>0.55172413793103403</v>
      </c>
      <c r="AF39">
        <v>16</v>
      </c>
      <c r="AG39">
        <v>0.44827586206896503</v>
      </c>
      <c r="AH39">
        <v>13</v>
      </c>
      <c r="AI39">
        <v>0.217391304347826</v>
      </c>
      <c r="AJ39">
        <v>15</v>
      </c>
      <c r="AK39">
        <v>0.77142857142857102</v>
      </c>
      <c r="AL39">
        <v>0.78260869565217395</v>
      </c>
      <c r="AM39">
        <v>0.77697841726618699</v>
      </c>
      <c r="AN39">
        <v>0.23328692334911699</v>
      </c>
      <c r="AO39">
        <v>0.62218890554722595</v>
      </c>
      <c r="AP39">
        <v>0.78882473406737097</v>
      </c>
      <c r="AQ39">
        <v>0.68367346938775497</v>
      </c>
      <c r="AR39">
        <v>0.452788911666615</v>
      </c>
      <c r="AS39">
        <v>0.54721108833338405</v>
      </c>
      <c r="AT39">
        <v>0.31632653061224397</v>
      </c>
      <c r="AU39">
        <v>0.68053935860058301</v>
      </c>
      <c r="AV39">
        <v>0.68367346938775497</v>
      </c>
      <c r="AW39">
        <v>0.68203654047760698</v>
      </c>
      <c r="AX39">
        <v>0.23328692334911699</v>
      </c>
      <c r="AY39">
        <v>0.62218890554722595</v>
      </c>
      <c r="AZ39">
        <v>0.69111420743153895</v>
      </c>
      <c r="BA39">
        <v>0.61655938407168998</v>
      </c>
      <c r="BB39">
        <v>0.68367346938775497</v>
      </c>
      <c r="BC39">
        <v>1.3009999999999999</v>
      </c>
      <c r="BD39">
        <v>0</v>
      </c>
      <c r="BE39">
        <v>1.293515</v>
      </c>
      <c r="BF39" s="1">
        <v>9.41E-4</v>
      </c>
      <c r="BG39">
        <v>1293.5150000000001</v>
      </c>
      <c r="BH39">
        <v>0.94099999999999995</v>
      </c>
      <c r="BI39">
        <v>86241</v>
      </c>
      <c r="BJ39">
        <v>23616</v>
      </c>
      <c r="BK39">
        <v>13806</v>
      </c>
      <c r="BL39">
        <v>82.653061224489704</v>
      </c>
      <c r="BM39">
        <v>70.408163265306101</v>
      </c>
      <c r="BN39" t="s">
        <v>95</v>
      </c>
      <c r="BO39" t="s">
        <v>95</v>
      </c>
      <c r="BP39" t="s">
        <v>95</v>
      </c>
      <c r="BQ39" t="s">
        <v>95</v>
      </c>
    </row>
    <row r="40" spans="1:69" x14ac:dyDescent="0.2">
      <c r="A40" t="s">
        <v>69</v>
      </c>
      <c r="B40">
        <v>9</v>
      </c>
      <c r="C40" t="s">
        <v>93</v>
      </c>
      <c r="D40" t="s">
        <v>94</v>
      </c>
      <c r="E40">
        <v>-5.9906078170482104E+18</v>
      </c>
      <c r="F40" s="1">
        <v>20250406.2212</v>
      </c>
      <c r="G40">
        <v>189</v>
      </c>
      <c r="H40">
        <v>97</v>
      </c>
      <c r="I40">
        <v>67</v>
      </c>
      <c r="J40">
        <v>30</v>
      </c>
      <c r="K40">
        <v>0</v>
      </c>
      <c r="L40">
        <v>69.072164948453604</v>
      </c>
      <c r="M40">
        <v>30.9278350515463</v>
      </c>
      <c r="N40">
        <v>0</v>
      </c>
      <c r="O40">
        <v>0.262170385395537</v>
      </c>
      <c r="P40">
        <v>0.31276134035721298</v>
      </c>
      <c r="Q40">
        <v>0.51411177400515695</v>
      </c>
      <c r="R40">
        <v>74.652529667586805</v>
      </c>
      <c r="S40">
        <v>112.298906442972</v>
      </c>
      <c r="T40">
        <v>85.362720957561507</v>
      </c>
      <c r="U40">
        <v>188.05940429211199</v>
      </c>
      <c r="V40">
        <v>-102.69668333455</v>
      </c>
      <c r="W40">
        <v>0.88002805110888205</v>
      </c>
      <c r="X40">
        <v>1.93875674527951</v>
      </c>
      <c r="Y40">
        <v>-1.05872869417062</v>
      </c>
      <c r="Z40">
        <v>17.557218129294</v>
      </c>
      <c r="AA40">
        <v>0.181002248755608</v>
      </c>
      <c r="AB40">
        <v>20.567781734631701</v>
      </c>
      <c r="AC40">
        <v>0.77941176470588203</v>
      </c>
      <c r="AD40">
        <v>53</v>
      </c>
      <c r="AE40">
        <v>0.51724137931034397</v>
      </c>
      <c r="AF40">
        <v>15</v>
      </c>
      <c r="AG40">
        <v>0.48275862068965503</v>
      </c>
      <c r="AH40">
        <v>14</v>
      </c>
      <c r="AI40">
        <v>0.220588235294117</v>
      </c>
      <c r="AJ40">
        <v>15</v>
      </c>
      <c r="AK40">
        <v>0.77941176470588203</v>
      </c>
      <c r="AL40">
        <v>0.77941176470588203</v>
      </c>
      <c r="AM40">
        <v>0.77941176470588203</v>
      </c>
      <c r="AN40">
        <v>0.262170385395537</v>
      </c>
      <c r="AO40">
        <v>0.62829614604462403</v>
      </c>
      <c r="AP40">
        <v>0.78613400466333305</v>
      </c>
      <c r="AQ40">
        <v>0.69072164948453596</v>
      </c>
      <c r="AR40">
        <v>0.42855126408899802</v>
      </c>
      <c r="AS40">
        <v>0.57144873591100098</v>
      </c>
      <c r="AT40">
        <v>0.30927835051546299</v>
      </c>
      <c r="AU40">
        <v>0.69072164948453596</v>
      </c>
      <c r="AV40">
        <v>0.69072164948453596</v>
      </c>
      <c r="AW40">
        <v>0.69072164948453596</v>
      </c>
      <c r="AX40">
        <v>0.262170385395537</v>
      </c>
      <c r="AY40">
        <v>0.62829614604462403</v>
      </c>
      <c r="AZ40">
        <v>0.70420140350220395</v>
      </c>
      <c r="BA40">
        <v>0.63108519269776797</v>
      </c>
      <c r="BB40">
        <v>0.69072164948453596</v>
      </c>
      <c r="BC40">
        <v>1.49</v>
      </c>
      <c r="BD40">
        <v>1E-3</v>
      </c>
      <c r="BE40">
        <v>1.3592219999999999</v>
      </c>
      <c r="BF40" s="1">
        <v>9.7300000000000002E-4</v>
      </c>
      <c r="BG40">
        <v>1359.222</v>
      </c>
      <c r="BH40">
        <v>0.97299999999999998</v>
      </c>
      <c r="BI40">
        <v>86241</v>
      </c>
      <c r="BJ40">
        <v>23725</v>
      </c>
      <c r="BK40">
        <v>13697</v>
      </c>
      <c r="BL40">
        <v>79.381443298969003</v>
      </c>
      <c r="BM40">
        <v>63.917525773195798</v>
      </c>
      <c r="BN40" t="s">
        <v>95</v>
      </c>
      <c r="BO40" t="s">
        <v>95</v>
      </c>
      <c r="BP40" t="s">
        <v>95</v>
      </c>
      <c r="BQ40" t="s">
        <v>95</v>
      </c>
    </row>
    <row r="41" spans="1:69" x14ac:dyDescent="0.2">
      <c r="A41" t="s">
        <v>69</v>
      </c>
      <c r="B41">
        <v>10</v>
      </c>
      <c r="C41" t="s">
        <v>93</v>
      </c>
      <c r="D41" t="s">
        <v>94</v>
      </c>
      <c r="E41">
        <v>-5.9906078170482104E+18</v>
      </c>
      <c r="F41" s="1">
        <v>20250406.2212</v>
      </c>
      <c r="G41">
        <v>188</v>
      </c>
      <c r="H41">
        <v>98</v>
      </c>
      <c r="I41">
        <v>65</v>
      </c>
      <c r="J41">
        <v>33</v>
      </c>
      <c r="K41">
        <v>0</v>
      </c>
      <c r="L41">
        <v>66.326530612244895</v>
      </c>
      <c r="M41">
        <v>33.673469387755098</v>
      </c>
      <c r="N41">
        <v>0</v>
      </c>
      <c r="O41">
        <v>0.13111230521225101</v>
      </c>
      <c r="P41">
        <v>0.35423557989143001</v>
      </c>
      <c r="Q41">
        <v>0.55700127890199602</v>
      </c>
      <c r="R41">
        <v>84.670943486244397</v>
      </c>
      <c r="S41">
        <v>122.022905358581</v>
      </c>
      <c r="T41">
        <v>85.877551156073196</v>
      </c>
      <c r="U41">
        <v>241.05279231792301</v>
      </c>
      <c r="V41">
        <v>-155.17524116185001</v>
      </c>
      <c r="W41">
        <v>0.87630154240891101</v>
      </c>
      <c r="X41">
        <v>2.4597223705910598</v>
      </c>
      <c r="Y41">
        <v>-1.58342082818214</v>
      </c>
      <c r="Z41">
        <v>8.3213922645354703</v>
      </c>
      <c r="AA41">
        <v>8.4912165964647707E-2</v>
      </c>
      <c r="AB41">
        <v>9.6898341330346405</v>
      </c>
      <c r="AC41">
        <v>0.81159420289855</v>
      </c>
      <c r="AD41">
        <v>56</v>
      </c>
      <c r="AE41">
        <v>0.68965517241379304</v>
      </c>
      <c r="AF41">
        <v>20</v>
      </c>
      <c r="AG41">
        <v>0.31034482758620602</v>
      </c>
      <c r="AH41">
        <v>9</v>
      </c>
      <c r="AI41">
        <v>0.188405797101449</v>
      </c>
      <c r="AJ41">
        <v>13</v>
      </c>
      <c r="AK41">
        <v>0.73684210526315697</v>
      </c>
      <c r="AL41">
        <v>0.81159420289855</v>
      </c>
      <c r="AM41">
        <v>0.77241379310344804</v>
      </c>
      <c r="AN41">
        <v>0.13339763973194199</v>
      </c>
      <c r="AO41">
        <v>0.57521239380309797</v>
      </c>
      <c r="AP41">
        <v>0.77809029939234597</v>
      </c>
      <c r="AQ41">
        <v>0.66326530612244805</v>
      </c>
      <c r="AR41">
        <v>0.54132627563769098</v>
      </c>
      <c r="AS41">
        <v>0.45867372436230802</v>
      </c>
      <c r="AT41">
        <v>0.33673469387755101</v>
      </c>
      <c r="AU41">
        <v>0.63985450639585895</v>
      </c>
      <c r="AV41">
        <v>0.66326530612244805</v>
      </c>
      <c r="AW41">
        <v>0.64828414124270295</v>
      </c>
      <c r="AX41">
        <v>0.13339763973194199</v>
      </c>
      <c r="AY41">
        <v>0.57521239380309797</v>
      </c>
      <c r="AZ41">
        <v>0.67088707848023998</v>
      </c>
      <c r="BA41">
        <v>0.56267748478701796</v>
      </c>
      <c r="BB41">
        <v>0.66326530612244805</v>
      </c>
      <c r="BC41">
        <v>1.45</v>
      </c>
      <c r="BD41">
        <v>1E-3</v>
      </c>
      <c r="BE41">
        <v>1.3546419999999999</v>
      </c>
      <c r="BF41">
        <v>1.0020000000000001E-3</v>
      </c>
      <c r="BG41">
        <v>1354.6420000000001</v>
      </c>
      <c r="BH41">
        <v>1.002</v>
      </c>
      <c r="BI41">
        <v>86241</v>
      </c>
      <c r="BJ41">
        <v>23616</v>
      </c>
      <c r="BK41">
        <v>13806</v>
      </c>
      <c r="BL41">
        <v>77.551020408163197</v>
      </c>
      <c r="BM41">
        <v>62.755102040816297</v>
      </c>
      <c r="BN41" t="s">
        <v>95</v>
      </c>
      <c r="BO41" t="s">
        <v>95</v>
      </c>
      <c r="BP41" t="s">
        <v>95</v>
      </c>
      <c r="BQ41" t="s">
        <v>95</v>
      </c>
    </row>
    <row r="42" spans="1:69" x14ac:dyDescent="0.2">
      <c r="A42" t="s">
        <v>69</v>
      </c>
      <c r="B42">
        <v>11</v>
      </c>
      <c r="C42" t="s">
        <v>93</v>
      </c>
      <c r="D42" t="s">
        <v>94</v>
      </c>
      <c r="E42">
        <v>-5.9906078170482104E+18</v>
      </c>
      <c r="F42" s="1">
        <v>20250406.2212</v>
      </c>
      <c r="G42">
        <v>189</v>
      </c>
      <c r="H42">
        <v>97</v>
      </c>
      <c r="I42">
        <v>64</v>
      </c>
      <c r="J42">
        <v>33</v>
      </c>
      <c r="K42">
        <v>0</v>
      </c>
      <c r="L42">
        <v>65.979381443298905</v>
      </c>
      <c r="M42">
        <v>34.020618556701002</v>
      </c>
      <c r="N42">
        <v>0</v>
      </c>
      <c r="O42">
        <v>0.146172312616697</v>
      </c>
      <c r="P42">
        <v>0.36137524985326203</v>
      </c>
      <c r="Q42">
        <v>0.54681208388623803</v>
      </c>
      <c r="R42">
        <v>86.2561099462946</v>
      </c>
      <c r="S42">
        <v>119.441728735065</v>
      </c>
      <c r="T42">
        <v>85.362720957561507</v>
      </c>
      <c r="U42">
        <v>200.731882222281</v>
      </c>
      <c r="V42">
        <v>-115.36916126472001</v>
      </c>
      <c r="W42">
        <v>0.88002805110888105</v>
      </c>
      <c r="X42">
        <v>2.0694008476523802</v>
      </c>
      <c r="Y42">
        <v>-1.1893727965434999</v>
      </c>
      <c r="Z42">
        <v>6.31899228286255</v>
      </c>
      <c r="AA42">
        <v>6.5144250338789206E-2</v>
      </c>
      <c r="AB42">
        <v>7.4025197556718698</v>
      </c>
      <c r="AC42">
        <v>0.79411764705882304</v>
      </c>
      <c r="AD42">
        <v>54</v>
      </c>
      <c r="AE42">
        <v>0.65517241379310298</v>
      </c>
      <c r="AF42">
        <v>19</v>
      </c>
      <c r="AG42">
        <v>0.34482758620689602</v>
      </c>
      <c r="AH42">
        <v>10</v>
      </c>
      <c r="AI42">
        <v>0.20588235294117599</v>
      </c>
      <c r="AJ42">
        <v>14</v>
      </c>
      <c r="AK42">
        <v>0.73972602739726001</v>
      </c>
      <c r="AL42">
        <v>0.79411764705882304</v>
      </c>
      <c r="AM42">
        <v>0.76595744680850997</v>
      </c>
      <c r="AN42">
        <v>0.147411055751482</v>
      </c>
      <c r="AO42">
        <v>0.60192697768762604</v>
      </c>
      <c r="AP42">
        <v>0.77939201830886295</v>
      </c>
      <c r="AQ42">
        <v>0.65979381443298901</v>
      </c>
      <c r="AR42">
        <v>0.52084858116726895</v>
      </c>
      <c r="AS42">
        <v>0.47915141883272999</v>
      </c>
      <c r="AT42">
        <v>0.34020618556700999</v>
      </c>
      <c r="AU42">
        <v>0.64314127006543298</v>
      </c>
      <c r="AV42">
        <v>0.65979381443298901</v>
      </c>
      <c r="AW42">
        <v>0.64977837741643096</v>
      </c>
      <c r="AX42">
        <v>0.147411055751482</v>
      </c>
      <c r="AY42">
        <v>0.60192697768762604</v>
      </c>
      <c r="AZ42">
        <v>0.68481596936090705</v>
      </c>
      <c r="BA42">
        <v>0.57165796868727403</v>
      </c>
      <c r="BB42">
        <v>0.65979381443298901</v>
      </c>
      <c r="BC42">
        <v>1.3460000000000001</v>
      </c>
      <c r="BD42">
        <v>1E-3</v>
      </c>
      <c r="BE42">
        <v>1.32772</v>
      </c>
      <c r="BF42" s="1">
        <v>9.9299999999999996E-4</v>
      </c>
      <c r="BG42">
        <v>1327.72</v>
      </c>
      <c r="BH42">
        <v>0.99299999999999999</v>
      </c>
      <c r="BI42">
        <v>86241</v>
      </c>
      <c r="BJ42">
        <v>23725</v>
      </c>
      <c r="BK42">
        <v>13697</v>
      </c>
      <c r="BL42">
        <v>79.381443298969003</v>
      </c>
      <c r="BM42">
        <v>67.525773195876198</v>
      </c>
      <c r="BN42" t="s">
        <v>95</v>
      </c>
      <c r="BO42" t="s">
        <v>95</v>
      </c>
      <c r="BP42" t="s">
        <v>95</v>
      </c>
      <c r="BQ42" t="s">
        <v>95</v>
      </c>
    </row>
    <row r="43" spans="1:69" x14ac:dyDescent="0.2">
      <c r="A43" t="s">
        <v>69</v>
      </c>
      <c r="B43">
        <v>12</v>
      </c>
      <c r="C43" t="s">
        <v>93</v>
      </c>
      <c r="D43" t="s">
        <v>94</v>
      </c>
      <c r="E43">
        <v>-5.9906078170482104E+18</v>
      </c>
      <c r="F43" s="1">
        <v>20250406.2212</v>
      </c>
      <c r="G43">
        <v>189</v>
      </c>
      <c r="H43">
        <v>97</v>
      </c>
      <c r="I43">
        <v>67</v>
      </c>
      <c r="J43">
        <v>30</v>
      </c>
      <c r="K43">
        <v>0</v>
      </c>
      <c r="L43">
        <v>69.072164948453604</v>
      </c>
      <c r="M43">
        <v>30.9278350515463</v>
      </c>
      <c r="N43">
        <v>0</v>
      </c>
      <c r="O43">
        <v>0.27647936350074498</v>
      </c>
      <c r="P43">
        <v>0.32393551161805401</v>
      </c>
      <c r="Q43">
        <v>0.505792323124443</v>
      </c>
      <c r="R43">
        <v>77.319675647354998</v>
      </c>
      <c r="S43">
        <v>110.481664972636</v>
      </c>
      <c r="T43">
        <v>85.362720957561507</v>
      </c>
      <c r="U43">
        <v>165.63406601519401</v>
      </c>
      <c r="V43">
        <v>-80.271345057632999</v>
      </c>
      <c r="W43">
        <v>0.88002805110888205</v>
      </c>
      <c r="X43">
        <v>1.70756769087829</v>
      </c>
      <c r="Y43">
        <v>-0.82753963976941203</v>
      </c>
      <c r="Z43">
        <v>14.9223163405505</v>
      </c>
      <c r="AA43">
        <v>0.15383831278918</v>
      </c>
      <c r="AB43">
        <v>17.481069222206699</v>
      </c>
      <c r="AC43">
        <v>0.76470588235294101</v>
      </c>
      <c r="AD43">
        <v>52</v>
      </c>
      <c r="AE43">
        <v>0.48275862068965503</v>
      </c>
      <c r="AF43">
        <v>14</v>
      </c>
      <c r="AG43">
        <v>0.51724137931034397</v>
      </c>
      <c r="AH43">
        <v>15</v>
      </c>
      <c r="AI43">
        <v>0.23529411764705799</v>
      </c>
      <c r="AJ43">
        <v>16</v>
      </c>
      <c r="AK43">
        <v>0.78787878787878696</v>
      </c>
      <c r="AL43">
        <v>0.76470588235294101</v>
      </c>
      <c r="AM43">
        <v>0.77611940298507398</v>
      </c>
      <c r="AN43">
        <v>0.27680155247926203</v>
      </c>
      <c r="AO43">
        <v>0.66506085192697695</v>
      </c>
      <c r="AP43">
        <v>0.814037328576944</v>
      </c>
      <c r="AQ43">
        <v>0.69072164948453596</v>
      </c>
      <c r="AR43">
        <v>0.40877438782124997</v>
      </c>
      <c r="AS43">
        <v>0.59122561217875003</v>
      </c>
      <c r="AT43">
        <v>0.30927835051546299</v>
      </c>
      <c r="AU43">
        <v>0.69698985196158403</v>
      </c>
      <c r="AV43">
        <v>0.69072164948453596</v>
      </c>
      <c r="AW43">
        <v>0.69356824126788696</v>
      </c>
      <c r="AX43">
        <v>0.27680155247926203</v>
      </c>
      <c r="AY43">
        <v>0.66506085192697695</v>
      </c>
      <c r="AZ43">
        <v>0.72911961120158797</v>
      </c>
      <c r="BA43">
        <v>0.63805970149253699</v>
      </c>
      <c r="BB43">
        <v>0.69072164948453596</v>
      </c>
      <c r="BC43">
        <v>1.351</v>
      </c>
      <c r="BD43">
        <v>1E-3</v>
      </c>
      <c r="BE43">
        <v>1.332848</v>
      </c>
      <c r="BF43" s="1">
        <v>9.6599999999999995E-4</v>
      </c>
      <c r="BG43">
        <v>1332.848</v>
      </c>
      <c r="BH43">
        <v>0.96599999999999997</v>
      </c>
      <c r="BI43">
        <v>86241</v>
      </c>
      <c r="BJ43">
        <v>23725</v>
      </c>
      <c r="BK43">
        <v>13697</v>
      </c>
      <c r="BL43">
        <v>86.597938144329902</v>
      </c>
      <c r="BM43">
        <v>69.072164948453604</v>
      </c>
      <c r="BN43" t="s">
        <v>95</v>
      </c>
      <c r="BO43" t="s">
        <v>95</v>
      </c>
      <c r="BP43" t="s">
        <v>95</v>
      </c>
      <c r="BQ43" t="s">
        <v>95</v>
      </c>
    </row>
    <row r="44" spans="1:69" x14ac:dyDescent="0.2">
      <c r="A44" t="s">
        <v>69</v>
      </c>
      <c r="B44">
        <v>13</v>
      </c>
      <c r="C44" t="s">
        <v>93</v>
      </c>
      <c r="D44" t="s">
        <v>94</v>
      </c>
      <c r="E44">
        <v>-5.9906078170482104E+18</v>
      </c>
      <c r="F44" s="1">
        <v>20250406.2212</v>
      </c>
      <c r="G44">
        <v>189</v>
      </c>
      <c r="H44">
        <v>97</v>
      </c>
      <c r="I44">
        <v>62</v>
      </c>
      <c r="J44">
        <v>35</v>
      </c>
      <c r="K44">
        <v>0</v>
      </c>
      <c r="L44">
        <v>63.917525773195798</v>
      </c>
      <c r="M44">
        <v>36.082474226804102</v>
      </c>
      <c r="N44">
        <v>0</v>
      </c>
      <c r="O44">
        <v>0.130601792573623</v>
      </c>
      <c r="P44">
        <v>0.37234835477185801</v>
      </c>
      <c r="Q44">
        <v>0.57087378872896399</v>
      </c>
      <c r="R44">
        <v>88.875263705980601</v>
      </c>
      <c r="S44">
        <v>124.697595800589</v>
      </c>
      <c r="T44">
        <v>85.362720957561507</v>
      </c>
      <c r="U44">
        <v>214.71199535405401</v>
      </c>
      <c r="V44">
        <v>-129.34927439649201</v>
      </c>
      <c r="W44">
        <v>0.88002805110888205</v>
      </c>
      <c r="X44">
        <v>2.2135257252995202</v>
      </c>
      <c r="Y44">
        <v>-1.3334976741906399</v>
      </c>
      <c r="Z44">
        <v>4.04655619106674</v>
      </c>
      <c r="AA44">
        <v>4.1717074134708598E-2</v>
      </c>
      <c r="AB44">
        <v>4.7404254991807298</v>
      </c>
      <c r="AC44">
        <v>0.75</v>
      </c>
      <c r="AD44">
        <v>51</v>
      </c>
      <c r="AE44">
        <v>0.62068965517241304</v>
      </c>
      <c r="AF44">
        <v>18</v>
      </c>
      <c r="AG44">
        <v>0.37931034482758602</v>
      </c>
      <c r="AH44">
        <v>11</v>
      </c>
      <c r="AI44">
        <v>0.25</v>
      </c>
      <c r="AJ44">
        <v>17</v>
      </c>
      <c r="AK44">
        <v>0.73913043478260798</v>
      </c>
      <c r="AL44">
        <v>0.75</v>
      </c>
      <c r="AM44">
        <v>0.74452554744525501</v>
      </c>
      <c r="AN44">
        <v>0.13064210338766699</v>
      </c>
      <c r="AO44">
        <v>0.63209939148073002</v>
      </c>
      <c r="AP44">
        <v>0.81815378873677602</v>
      </c>
      <c r="AQ44">
        <v>0.63917525773195805</v>
      </c>
      <c r="AR44">
        <v>0.50986491290437197</v>
      </c>
      <c r="AS44">
        <v>0.49013508709562698</v>
      </c>
      <c r="AT44">
        <v>0.36082474226804101</v>
      </c>
      <c r="AU44">
        <v>0.63560542998014902</v>
      </c>
      <c r="AV44">
        <v>0.63917525773195805</v>
      </c>
      <c r="AW44">
        <v>0.63732700703523404</v>
      </c>
      <c r="AX44">
        <v>0.13064210338766699</v>
      </c>
      <c r="AY44">
        <v>0.63209939148073002</v>
      </c>
      <c r="AZ44">
        <v>0.70064590509104696</v>
      </c>
      <c r="BA44">
        <v>0.56524522986297798</v>
      </c>
      <c r="BB44">
        <v>0.63917525773195805</v>
      </c>
      <c r="BC44">
        <v>1.377</v>
      </c>
      <c r="BD44">
        <v>1E-3</v>
      </c>
      <c r="BE44">
        <v>1.349294</v>
      </c>
      <c r="BF44" s="1">
        <v>8.8500000000000004E-4</v>
      </c>
      <c r="BG44">
        <v>1349.2940000000001</v>
      </c>
      <c r="BH44">
        <v>0.88500000000000001</v>
      </c>
      <c r="BI44">
        <v>86241</v>
      </c>
      <c r="BJ44">
        <v>23725</v>
      </c>
      <c r="BK44">
        <v>13697</v>
      </c>
      <c r="BL44">
        <v>77.319587628865904</v>
      </c>
      <c r="BM44">
        <v>63.917525773195798</v>
      </c>
      <c r="BN44" t="s">
        <v>95</v>
      </c>
      <c r="BO44" t="s">
        <v>95</v>
      </c>
      <c r="BP44" t="s">
        <v>95</v>
      </c>
      <c r="BQ44" t="s">
        <v>95</v>
      </c>
    </row>
    <row r="45" spans="1:69" x14ac:dyDescent="0.2">
      <c r="A45" t="s">
        <v>69</v>
      </c>
      <c r="B45">
        <v>14</v>
      </c>
      <c r="C45" t="s">
        <v>93</v>
      </c>
      <c r="D45" t="s">
        <v>94</v>
      </c>
      <c r="E45">
        <v>-5.9906078170482104E+18</v>
      </c>
      <c r="F45" s="1">
        <v>20250406.2212</v>
      </c>
      <c r="G45">
        <v>189</v>
      </c>
      <c r="H45">
        <v>97</v>
      </c>
      <c r="I45">
        <v>65</v>
      </c>
      <c r="J45">
        <v>32</v>
      </c>
      <c r="K45">
        <v>0</v>
      </c>
      <c r="L45">
        <v>67.010309278350505</v>
      </c>
      <c r="M45">
        <v>32.989690721649403</v>
      </c>
      <c r="N45">
        <v>0</v>
      </c>
      <c r="O45">
        <v>0.14537444933920701</v>
      </c>
      <c r="P45">
        <v>0.35521955768575197</v>
      </c>
      <c r="Q45">
        <v>0.54732508127744395</v>
      </c>
      <c r="R45">
        <v>84.786817125018402</v>
      </c>
      <c r="S45">
        <v>119.553784223683</v>
      </c>
      <c r="T45">
        <v>85.362720957561507</v>
      </c>
      <c r="U45">
        <v>233.76060461355701</v>
      </c>
      <c r="V45">
        <v>-148.397883655996</v>
      </c>
      <c r="W45">
        <v>0.88002805110888205</v>
      </c>
      <c r="X45">
        <v>2.4099031403459499</v>
      </c>
      <c r="Y45">
        <v>-1.5298750892370701</v>
      </c>
      <c r="Z45">
        <v>8.34312054062279</v>
      </c>
      <c r="AA45">
        <v>8.6011551965183397E-2</v>
      </c>
      <c r="AB45">
        <v>9.7737284461335392</v>
      </c>
      <c r="AC45">
        <v>0.82352941176470495</v>
      </c>
      <c r="AD45">
        <v>56</v>
      </c>
      <c r="AE45">
        <v>0.68965517241379304</v>
      </c>
      <c r="AF45">
        <v>20</v>
      </c>
      <c r="AG45">
        <v>0.31034482758620602</v>
      </c>
      <c r="AH45">
        <v>9</v>
      </c>
      <c r="AI45">
        <v>0.17647058823529399</v>
      </c>
      <c r="AJ45">
        <v>12</v>
      </c>
      <c r="AK45">
        <v>0.73684210526315697</v>
      </c>
      <c r="AL45">
        <v>0.82352941176470495</v>
      </c>
      <c r="AM45">
        <v>0.77777777777777701</v>
      </c>
      <c r="AN45">
        <v>0.14881065492918</v>
      </c>
      <c r="AO45">
        <v>0.550456389452332</v>
      </c>
      <c r="AP45">
        <v>0.73316098797445906</v>
      </c>
      <c r="AQ45">
        <v>0.67010309278350499</v>
      </c>
      <c r="AR45">
        <v>0.53622885343259197</v>
      </c>
      <c r="AS45">
        <v>0.46377114656740698</v>
      </c>
      <c r="AT45">
        <v>0.32989690721649401</v>
      </c>
      <c r="AU45">
        <v>0.64467870707696995</v>
      </c>
      <c r="AV45">
        <v>0.67010309278350499</v>
      </c>
      <c r="AW45">
        <v>0.65287514318442097</v>
      </c>
      <c r="AX45">
        <v>0.14881065492918</v>
      </c>
      <c r="AY45">
        <v>0.550456389452332</v>
      </c>
      <c r="AZ45">
        <v>0.63236745810268302</v>
      </c>
      <c r="BA45">
        <v>0.568888888888888</v>
      </c>
      <c r="BB45">
        <v>0.67010309278350499</v>
      </c>
      <c r="BC45">
        <v>1.4319999999999999</v>
      </c>
      <c r="BD45">
        <v>1E-3</v>
      </c>
      <c r="BE45">
        <v>1.3365419999999999</v>
      </c>
      <c r="BF45" s="1">
        <v>8.4499999999999896E-4</v>
      </c>
      <c r="BG45">
        <v>1336.5419999999999</v>
      </c>
      <c r="BH45">
        <v>0.84499999999999997</v>
      </c>
      <c r="BI45">
        <v>86241</v>
      </c>
      <c r="BJ45">
        <v>23725</v>
      </c>
      <c r="BK45">
        <v>13697</v>
      </c>
      <c r="BL45">
        <v>80.412371134020603</v>
      </c>
      <c r="BM45">
        <v>65.463917525773198</v>
      </c>
      <c r="BN45" t="s">
        <v>95</v>
      </c>
      <c r="BO45" t="s">
        <v>95</v>
      </c>
      <c r="BP45" t="s">
        <v>95</v>
      </c>
      <c r="BQ45" t="s">
        <v>95</v>
      </c>
    </row>
    <row r="46" spans="1:69" x14ac:dyDescent="0.2">
      <c r="A46" t="s">
        <v>69</v>
      </c>
      <c r="B46">
        <v>15</v>
      </c>
      <c r="C46" t="s">
        <v>93</v>
      </c>
      <c r="D46" t="s">
        <v>94</v>
      </c>
      <c r="E46">
        <v>-5.9906078170482104E+18</v>
      </c>
      <c r="F46" s="1">
        <v>20250406.2212</v>
      </c>
      <c r="G46">
        <v>188</v>
      </c>
      <c r="H46">
        <v>98</v>
      </c>
      <c r="I46">
        <v>70</v>
      </c>
      <c r="J46">
        <v>28</v>
      </c>
      <c r="K46">
        <v>0</v>
      </c>
      <c r="L46">
        <v>71.428571428571402</v>
      </c>
      <c r="M46">
        <v>28.571428571428498</v>
      </c>
      <c r="N46">
        <v>0</v>
      </c>
      <c r="O46">
        <v>0.32778049975502199</v>
      </c>
      <c r="P46">
        <v>0.324888184557524</v>
      </c>
      <c r="Q46">
        <v>0.51142661675578904</v>
      </c>
      <c r="R46">
        <v>77.656200211310804</v>
      </c>
      <c r="S46">
        <v>112.038812150073</v>
      </c>
      <c r="T46">
        <v>85.877551156073196</v>
      </c>
      <c r="U46">
        <v>186.58210130064501</v>
      </c>
      <c r="V46">
        <v>-100.704550144572</v>
      </c>
      <c r="W46">
        <v>0.87630154240891001</v>
      </c>
      <c r="X46">
        <v>1.90389899286373</v>
      </c>
      <c r="Y46">
        <v>-1.02759745045482</v>
      </c>
      <c r="Z46">
        <v>15.137219882218</v>
      </c>
      <c r="AA46">
        <v>0.154461427369572</v>
      </c>
      <c r="AB46">
        <v>17.626515519414099</v>
      </c>
      <c r="AC46">
        <v>0.78260869565217395</v>
      </c>
      <c r="AD46">
        <v>54</v>
      </c>
      <c r="AE46">
        <v>0.44827586206896503</v>
      </c>
      <c r="AF46">
        <v>13</v>
      </c>
      <c r="AG46">
        <v>0.55172413793103403</v>
      </c>
      <c r="AH46">
        <v>16</v>
      </c>
      <c r="AI46">
        <v>0.217391304347826</v>
      </c>
      <c r="AJ46">
        <v>15</v>
      </c>
      <c r="AK46">
        <v>0.80597014925373101</v>
      </c>
      <c r="AL46">
        <v>0.78260869565217395</v>
      </c>
      <c r="AM46">
        <v>0.79411764705882304</v>
      </c>
      <c r="AN46">
        <v>0.32815900421848898</v>
      </c>
      <c r="AO46">
        <v>0.68140929535232297</v>
      </c>
      <c r="AP46">
        <v>0.83111500868323596</v>
      </c>
      <c r="AQ46">
        <v>0.71428571428571397</v>
      </c>
      <c r="AR46">
        <v>0.37995288070250499</v>
      </c>
      <c r="AS46">
        <v>0.62004711929749401</v>
      </c>
      <c r="AT46">
        <v>0.28571428571428498</v>
      </c>
      <c r="AU46">
        <v>0.72020083912235999</v>
      </c>
      <c r="AV46">
        <v>0.71428571428571397</v>
      </c>
      <c r="AW46">
        <v>0.71694677871148405</v>
      </c>
      <c r="AX46">
        <v>0.32815900421848898</v>
      </c>
      <c r="AY46">
        <v>0.68140929535232297</v>
      </c>
      <c r="AZ46">
        <v>0.71386201189276</v>
      </c>
      <c r="BA46">
        <v>0.66372549019607796</v>
      </c>
      <c r="BB46">
        <v>0.71428571428571397</v>
      </c>
      <c r="BC46">
        <v>1.337</v>
      </c>
      <c r="BD46">
        <v>1E-3</v>
      </c>
      <c r="BE46">
        <v>1.315472</v>
      </c>
      <c r="BF46" s="1">
        <v>9.7499999999999996E-4</v>
      </c>
      <c r="BG46">
        <v>1315.472</v>
      </c>
      <c r="BH46">
        <v>0.97499999999999998</v>
      </c>
      <c r="BI46">
        <v>86241</v>
      </c>
      <c r="BJ46">
        <v>23616</v>
      </c>
      <c r="BK46">
        <v>13806</v>
      </c>
      <c r="BL46">
        <v>81.632653061224403</v>
      </c>
      <c r="BM46">
        <v>67.346938775510196</v>
      </c>
      <c r="BN46" t="s">
        <v>95</v>
      </c>
      <c r="BO46" t="s">
        <v>95</v>
      </c>
      <c r="BP46" t="s">
        <v>95</v>
      </c>
      <c r="BQ46" t="s">
        <v>95</v>
      </c>
    </row>
    <row r="47" spans="1:69" x14ac:dyDescent="0.2">
      <c r="A47" t="s">
        <v>69</v>
      </c>
      <c r="B47">
        <v>16</v>
      </c>
      <c r="C47" t="s">
        <v>93</v>
      </c>
      <c r="D47" t="s">
        <v>94</v>
      </c>
      <c r="E47">
        <v>-5.9906078170482104E+18</v>
      </c>
      <c r="F47" s="1">
        <v>20250406.2212</v>
      </c>
      <c r="G47">
        <v>190</v>
      </c>
      <c r="H47">
        <v>96</v>
      </c>
      <c r="I47">
        <v>60</v>
      </c>
      <c r="J47">
        <v>36</v>
      </c>
      <c r="K47">
        <v>0</v>
      </c>
      <c r="L47">
        <v>62.5</v>
      </c>
      <c r="M47">
        <v>37.5</v>
      </c>
      <c r="N47">
        <v>0</v>
      </c>
      <c r="O47">
        <v>9.2436974789915902E-2</v>
      </c>
      <c r="P47">
        <v>0.356049223106715</v>
      </c>
      <c r="Q47">
        <v>0.53993082337254195</v>
      </c>
      <c r="R47">
        <v>85.274159047595901</v>
      </c>
      <c r="S47">
        <v>118.757723545148</v>
      </c>
      <c r="T47">
        <v>83.638867254530396</v>
      </c>
      <c r="U47">
        <v>189.563911729578</v>
      </c>
      <c r="V47">
        <v>-105.925044475047</v>
      </c>
      <c r="W47">
        <v>0.87123820056802503</v>
      </c>
      <c r="X47">
        <v>1.9746240805164299</v>
      </c>
      <c r="Y47">
        <v>-1.10338587994841</v>
      </c>
      <c r="Z47">
        <v>6.2740409620491002</v>
      </c>
      <c r="AA47">
        <v>6.5354593354678095E-2</v>
      </c>
      <c r="AB47">
        <v>7.5013461659588101</v>
      </c>
      <c r="AC47">
        <v>0.73529411764705799</v>
      </c>
      <c r="AD47">
        <v>50</v>
      </c>
      <c r="AE47">
        <v>0.64285714285714202</v>
      </c>
      <c r="AF47">
        <v>18</v>
      </c>
      <c r="AG47">
        <v>0.35714285714285698</v>
      </c>
      <c r="AH47">
        <v>10</v>
      </c>
      <c r="AI47">
        <v>0.26470588235294101</v>
      </c>
      <c r="AJ47">
        <v>18</v>
      </c>
      <c r="AK47">
        <v>0.73529411764705799</v>
      </c>
      <c r="AL47">
        <v>0.73529411764705799</v>
      </c>
      <c r="AM47">
        <v>0.73529411764705899</v>
      </c>
      <c r="AN47">
        <v>9.2436974789915902E-2</v>
      </c>
      <c r="AO47">
        <v>0.62473739495798297</v>
      </c>
      <c r="AP47">
        <v>0.808890121379362</v>
      </c>
      <c r="AQ47">
        <v>0.625</v>
      </c>
      <c r="AR47">
        <v>0.53256302521008403</v>
      </c>
      <c r="AS47">
        <v>0.46743697478991503</v>
      </c>
      <c r="AT47">
        <v>0.375</v>
      </c>
      <c r="AU47">
        <v>0.625</v>
      </c>
      <c r="AV47">
        <v>0.625</v>
      </c>
      <c r="AW47">
        <v>0.625</v>
      </c>
      <c r="AX47">
        <v>9.2436974789915902E-2</v>
      </c>
      <c r="AY47">
        <v>0.62473739495798297</v>
      </c>
      <c r="AZ47">
        <v>0.69715920292428402</v>
      </c>
      <c r="BA47">
        <v>0.54621848739495804</v>
      </c>
      <c r="BB47">
        <v>0.625</v>
      </c>
      <c r="BC47">
        <v>1.4379999999999999</v>
      </c>
      <c r="BD47">
        <v>1E-3</v>
      </c>
      <c r="BE47">
        <v>1.339731</v>
      </c>
      <c r="BF47" s="1">
        <v>8.9499999999999996E-4</v>
      </c>
      <c r="BG47">
        <v>1339.731</v>
      </c>
      <c r="BH47">
        <v>0.89500000000000002</v>
      </c>
      <c r="BI47">
        <v>86241</v>
      </c>
      <c r="BJ47">
        <v>23834</v>
      </c>
      <c r="BK47">
        <v>13588</v>
      </c>
      <c r="BL47">
        <v>83.3333333333333</v>
      </c>
      <c r="BM47">
        <v>68.2291666666666</v>
      </c>
      <c r="BN47" t="s">
        <v>95</v>
      </c>
      <c r="BO47" t="s">
        <v>95</v>
      </c>
      <c r="BP47" t="s">
        <v>95</v>
      </c>
      <c r="BQ47" t="s">
        <v>95</v>
      </c>
    </row>
    <row r="48" spans="1:69" x14ac:dyDescent="0.2">
      <c r="A48" t="s">
        <v>69</v>
      </c>
      <c r="B48">
        <v>17</v>
      </c>
      <c r="C48" t="s">
        <v>93</v>
      </c>
      <c r="D48" t="s">
        <v>94</v>
      </c>
      <c r="E48">
        <v>-5.9906078170482104E+18</v>
      </c>
      <c r="F48" s="1">
        <v>20250406.2212</v>
      </c>
      <c r="G48">
        <v>188</v>
      </c>
      <c r="H48">
        <v>98</v>
      </c>
      <c r="I48">
        <v>69</v>
      </c>
      <c r="J48">
        <v>29</v>
      </c>
      <c r="K48">
        <v>0</v>
      </c>
      <c r="L48">
        <v>70.408163265306101</v>
      </c>
      <c r="M48">
        <v>29.5918367346938</v>
      </c>
      <c r="N48">
        <v>0</v>
      </c>
      <c r="O48">
        <v>0.25249868490268201</v>
      </c>
      <c r="P48">
        <v>0.32390427922951498</v>
      </c>
      <c r="Q48">
        <v>0.50000942334313703</v>
      </c>
      <c r="R48">
        <v>77.421022840225504</v>
      </c>
      <c r="S48">
        <v>109.53763456929801</v>
      </c>
      <c r="T48">
        <v>85.877551156073196</v>
      </c>
      <c r="U48">
        <v>151.162317905523</v>
      </c>
      <c r="V48">
        <v>-65.2847667494501</v>
      </c>
      <c r="W48">
        <v>0.87630154240891001</v>
      </c>
      <c r="X48">
        <v>1.5424726316890101</v>
      </c>
      <c r="Y48">
        <v>-0.66617108928010305</v>
      </c>
      <c r="Z48">
        <v>14.934301038021299</v>
      </c>
      <c r="AA48">
        <v>0.15239082691858499</v>
      </c>
      <c r="AB48">
        <v>17.390226941706601</v>
      </c>
      <c r="AC48">
        <v>0.82608695652173902</v>
      </c>
      <c r="AD48">
        <v>57</v>
      </c>
      <c r="AE48">
        <v>0.58620689655172398</v>
      </c>
      <c r="AF48">
        <v>17</v>
      </c>
      <c r="AG48">
        <v>0.41379310344827502</v>
      </c>
      <c r="AH48">
        <v>12</v>
      </c>
      <c r="AI48">
        <v>0.17391304347826</v>
      </c>
      <c r="AJ48">
        <v>12</v>
      </c>
      <c r="AK48">
        <v>0.77027027027026995</v>
      </c>
      <c r="AL48">
        <v>0.82608695652173902</v>
      </c>
      <c r="AM48">
        <v>0.79720279720279696</v>
      </c>
      <c r="AN48">
        <v>0.25462216839965901</v>
      </c>
      <c r="AO48">
        <v>0.62843578210894502</v>
      </c>
      <c r="AP48">
        <v>0.79389788016641905</v>
      </c>
      <c r="AQ48">
        <v>0.70408163265306101</v>
      </c>
      <c r="AR48">
        <v>0.46420157268304602</v>
      </c>
      <c r="AS48">
        <v>0.53579842731695304</v>
      </c>
      <c r="AT48">
        <v>0.29591836734693799</v>
      </c>
      <c r="AU48">
        <v>0.69029233314947602</v>
      </c>
      <c r="AV48">
        <v>0.70408163265306101</v>
      </c>
      <c r="AW48">
        <v>0.69529661712950097</v>
      </c>
      <c r="AX48">
        <v>0.25462216839965901</v>
      </c>
      <c r="AY48">
        <v>0.62843578210894502</v>
      </c>
      <c r="AZ48">
        <v>0.71533028776009899</v>
      </c>
      <c r="BA48">
        <v>0.62501649294102102</v>
      </c>
      <c r="BB48">
        <v>0.70408163265306101</v>
      </c>
      <c r="BC48">
        <v>1.3169999999999999</v>
      </c>
      <c r="BD48">
        <v>1E-3</v>
      </c>
      <c r="BE48">
        <v>1.307963</v>
      </c>
      <c r="BF48" s="1">
        <v>8.7199999999999897E-4</v>
      </c>
      <c r="BG48">
        <v>1307.963</v>
      </c>
      <c r="BH48">
        <v>0.872</v>
      </c>
      <c r="BI48">
        <v>86241</v>
      </c>
      <c r="BJ48">
        <v>23616</v>
      </c>
      <c r="BK48">
        <v>13806</v>
      </c>
      <c r="BL48">
        <v>85.714285714285694</v>
      </c>
      <c r="BM48">
        <v>69.897959183673393</v>
      </c>
      <c r="BN48" t="s">
        <v>95</v>
      </c>
      <c r="BO48" t="s">
        <v>95</v>
      </c>
      <c r="BP48" t="s">
        <v>95</v>
      </c>
      <c r="BQ48" t="s">
        <v>95</v>
      </c>
    </row>
    <row r="49" spans="1:69" x14ac:dyDescent="0.2">
      <c r="A49" t="s">
        <v>69</v>
      </c>
      <c r="B49">
        <v>18</v>
      </c>
      <c r="C49" t="s">
        <v>93</v>
      </c>
      <c r="D49" t="s">
        <v>94</v>
      </c>
      <c r="E49">
        <v>-5.9906078170482104E+18</v>
      </c>
      <c r="F49" s="1">
        <v>20250406.2212</v>
      </c>
      <c r="G49">
        <v>189</v>
      </c>
      <c r="H49">
        <v>97</v>
      </c>
      <c r="I49">
        <v>69</v>
      </c>
      <c r="J49">
        <v>28</v>
      </c>
      <c r="K49">
        <v>0</v>
      </c>
      <c r="L49">
        <v>71.134020618556704</v>
      </c>
      <c r="M49">
        <v>28.865979381443299</v>
      </c>
      <c r="N49">
        <v>0</v>
      </c>
      <c r="O49">
        <v>0.26594594594594501</v>
      </c>
      <c r="P49">
        <v>0.30771468862808199</v>
      </c>
      <c r="Q49">
        <v>0.51137822791363297</v>
      </c>
      <c r="R49">
        <v>73.790189441010597</v>
      </c>
      <c r="S49">
        <v>112.790476576126</v>
      </c>
      <c r="T49">
        <v>84.172640406313505</v>
      </c>
      <c r="U49">
        <v>193.766184057657</v>
      </c>
      <c r="V49">
        <v>-109.593543651343</v>
      </c>
      <c r="W49">
        <v>0.86775917944653103</v>
      </c>
      <c r="X49">
        <v>1.9975895263676</v>
      </c>
      <c r="Y49">
        <v>-1.12983034692107</v>
      </c>
      <c r="Z49">
        <v>18.269822540508201</v>
      </c>
      <c r="AA49">
        <v>0.18834868598462101</v>
      </c>
      <c r="AB49">
        <v>21.7051793223037</v>
      </c>
      <c r="AC49">
        <v>0.82608695652173902</v>
      </c>
      <c r="AD49">
        <v>57</v>
      </c>
      <c r="AE49">
        <v>0.57142857142857095</v>
      </c>
      <c r="AF49">
        <v>16</v>
      </c>
      <c r="AG49">
        <v>0.42857142857142799</v>
      </c>
      <c r="AH49">
        <v>12</v>
      </c>
      <c r="AI49">
        <v>0.17391304347826</v>
      </c>
      <c r="AJ49">
        <v>12</v>
      </c>
      <c r="AK49">
        <v>0.78082191780821897</v>
      </c>
      <c r="AL49">
        <v>0.82608695652173902</v>
      </c>
      <c r="AM49">
        <v>0.80281690140844997</v>
      </c>
      <c r="AN49">
        <v>0.26742037335963598</v>
      </c>
      <c r="AO49">
        <v>0.63509316770186297</v>
      </c>
      <c r="AP49">
        <v>0.78548598051493301</v>
      </c>
      <c r="AQ49">
        <v>0.71134020618556704</v>
      </c>
      <c r="AR49">
        <v>0.45668182109239902</v>
      </c>
      <c r="AS49">
        <v>0.54331817890760004</v>
      </c>
      <c r="AT49">
        <v>0.28865979381443202</v>
      </c>
      <c r="AU49">
        <v>0.69975992091512496</v>
      </c>
      <c r="AV49">
        <v>0.71134020618556704</v>
      </c>
      <c r="AW49">
        <v>0.70430353732226803</v>
      </c>
      <c r="AX49">
        <v>0.26742037335963598</v>
      </c>
      <c r="AY49">
        <v>0.63509316770186297</v>
      </c>
      <c r="AZ49">
        <v>0.68427994417860205</v>
      </c>
      <c r="BA49">
        <v>0.63217768147345599</v>
      </c>
      <c r="BB49">
        <v>0.71134020618556704</v>
      </c>
      <c r="BC49">
        <v>1.3280000000000001</v>
      </c>
      <c r="BD49">
        <v>1E-3</v>
      </c>
      <c r="BE49">
        <v>1.318228</v>
      </c>
      <c r="BF49" s="1">
        <v>8.5099999999999998E-4</v>
      </c>
      <c r="BG49">
        <v>1318.2280000000001</v>
      </c>
      <c r="BH49">
        <v>0.85099999999999998</v>
      </c>
      <c r="BI49">
        <v>86241</v>
      </c>
      <c r="BJ49">
        <v>23725</v>
      </c>
      <c r="BK49">
        <v>13697</v>
      </c>
      <c r="BL49">
        <v>80.412371134020603</v>
      </c>
      <c r="BM49">
        <v>62.886597938144298</v>
      </c>
      <c r="BN49" t="s">
        <v>95</v>
      </c>
      <c r="BO49" t="s">
        <v>95</v>
      </c>
      <c r="BP49" t="s">
        <v>95</v>
      </c>
      <c r="BQ49" t="s">
        <v>95</v>
      </c>
    </row>
    <row r="50" spans="1:69" x14ac:dyDescent="0.2">
      <c r="A50" t="s">
        <v>69</v>
      </c>
      <c r="B50">
        <v>19</v>
      </c>
      <c r="C50" t="s">
        <v>93</v>
      </c>
      <c r="D50" t="s">
        <v>94</v>
      </c>
      <c r="E50">
        <v>-5.9906078170482104E+18</v>
      </c>
      <c r="F50" s="1">
        <v>20250406.2212</v>
      </c>
      <c r="G50">
        <v>189</v>
      </c>
      <c r="H50">
        <v>97</v>
      </c>
      <c r="I50">
        <v>66</v>
      </c>
      <c r="J50">
        <v>31</v>
      </c>
      <c r="K50">
        <v>0</v>
      </c>
      <c r="L50">
        <v>68.041237113402005</v>
      </c>
      <c r="M50">
        <v>31.958762886597899</v>
      </c>
      <c r="N50">
        <v>0</v>
      </c>
      <c r="O50">
        <v>0.22996158770806599</v>
      </c>
      <c r="P50">
        <v>0.35551831471540901</v>
      </c>
      <c r="Q50">
        <v>0.54861541068828801</v>
      </c>
      <c r="R50">
        <v>84.858126987018494</v>
      </c>
      <c r="S50">
        <v>119.83563457046699</v>
      </c>
      <c r="T50">
        <v>85.362720957561507</v>
      </c>
      <c r="U50">
        <v>223.05092148824301</v>
      </c>
      <c r="V50">
        <v>-137.688200530681</v>
      </c>
      <c r="W50">
        <v>0.88002805110888105</v>
      </c>
      <c r="X50">
        <v>2.2994940359612599</v>
      </c>
      <c r="Y50">
        <v>-1.4194659848523801</v>
      </c>
      <c r="Z50">
        <v>8.6334124117984707</v>
      </c>
      <c r="AA50">
        <v>8.9004251668025502E-2</v>
      </c>
      <c r="AB50">
        <v>10.113797117702701</v>
      </c>
      <c r="AC50">
        <v>0.77941176470588203</v>
      </c>
      <c r="AD50">
        <v>53</v>
      </c>
      <c r="AE50">
        <v>0.55172413793103403</v>
      </c>
      <c r="AF50">
        <v>16</v>
      </c>
      <c r="AG50">
        <v>0.44827586206896503</v>
      </c>
      <c r="AH50">
        <v>13</v>
      </c>
      <c r="AI50">
        <v>0.220588235294117</v>
      </c>
      <c r="AJ50">
        <v>15</v>
      </c>
      <c r="AK50">
        <v>0.76811594202898503</v>
      </c>
      <c r="AL50">
        <v>0.77941176470588203</v>
      </c>
      <c r="AM50">
        <v>0.773722627737226</v>
      </c>
      <c r="AN50">
        <v>0.230032566357109</v>
      </c>
      <c r="AO50">
        <v>0.60167342799188595</v>
      </c>
      <c r="AP50">
        <v>0.78347104661396105</v>
      </c>
      <c r="AQ50">
        <v>0.68041237113401998</v>
      </c>
      <c r="AR50">
        <v>0.45272474435917198</v>
      </c>
      <c r="AS50">
        <v>0.54727525564082702</v>
      </c>
      <c r="AT50">
        <v>0.31958762886597902</v>
      </c>
      <c r="AU50">
        <v>0.67728010074491396</v>
      </c>
      <c r="AV50">
        <v>0.68041237113401998</v>
      </c>
      <c r="AW50">
        <v>0.67877534908835002</v>
      </c>
      <c r="AX50">
        <v>0.230032566357109</v>
      </c>
      <c r="AY50">
        <v>0.60167342799188595</v>
      </c>
      <c r="AZ50">
        <v>0.66980759696749803</v>
      </c>
      <c r="BA50">
        <v>0.61493148930720898</v>
      </c>
      <c r="BB50">
        <v>0.68041237113401998</v>
      </c>
      <c r="BC50">
        <v>1.3240000000000001</v>
      </c>
      <c r="BD50">
        <v>1E-3</v>
      </c>
      <c r="BE50">
        <v>1.3128040000000001</v>
      </c>
      <c r="BF50" s="1">
        <v>9.3199999999999999E-4</v>
      </c>
      <c r="BG50">
        <v>1312.8040000000001</v>
      </c>
      <c r="BH50">
        <v>0.93200000000000005</v>
      </c>
      <c r="BI50">
        <v>86241</v>
      </c>
      <c r="BJ50">
        <v>23725</v>
      </c>
      <c r="BK50">
        <v>13697</v>
      </c>
      <c r="BL50">
        <v>76.288659793814404</v>
      </c>
      <c r="BM50">
        <v>64.948453608247405</v>
      </c>
      <c r="BN50" t="s">
        <v>95</v>
      </c>
      <c r="BO50" t="s">
        <v>95</v>
      </c>
      <c r="BP50" t="s">
        <v>95</v>
      </c>
      <c r="BQ50" t="s">
        <v>95</v>
      </c>
    </row>
    <row r="51" spans="1:69" x14ac:dyDescent="0.2">
      <c r="A51" t="s">
        <v>69</v>
      </c>
      <c r="B51">
        <v>20</v>
      </c>
      <c r="C51" t="s">
        <v>93</v>
      </c>
      <c r="D51" t="s">
        <v>94</v>
      </c>
      <c r="E51">
        <v>-5.9906078170482104E+18</v>
      </c>
      <c r="F51" s="1">
        <v>20250406.2212</v>
      </c>
      <c r="G51">
        <v>189</v>
      </c>
      <c r="H51">
        <v>97</v>
      </c>
      <c r="I51">
        <v>56</v>
      </c>
      <c r="J51">
        <v>41</v>
      </c>
      <c r="K51">
        <v>0</v>
      </c>
      <c r="L51">
        <v>57.731958762886599</v>
      </c>
      <c r="M51">
        <v>42.268041237113401</v>
      </c>
      <c r="N51">
        <v>0</v>
      </c>
      <c r="O51">
        <v>9.0555682597758799E-2</v>
      </c>
      <c r="P51">
        <v>0.42531516687931198</v>
      </c>
      <c r="Q51">
        <v>0.60604183850431603</v>
      </c>
      <c r="R51">
        <v>101.517831702821</v>
      </c>
      <c r="S51">
        <v>132.37945358170299</v>
      </c>
      <c r="T51">
        <v>85.362720957561507</v>
      </c>
      <c r="U51">
        <v>292.01769433226502</v>
      </c>
      <c r="V51">
        <v>-206.65497337470401</v>
      </c>
      <c r="W51">
        <v>0.88002805110888105</v>
      </c>
      <c r="X51">
        <v>3.0104916941470599</v>
      </c>
      <c r="Y51">
        <v>-2.1304636430381798</v>
      </c>
      <c r="Z51">
        <v>-7.4493973641522997</v>
      </c>
      <c r="AA51">
        <v>-7.67979109706423E-2</v>
      </c>
      <c r="AB51">
        <v>-8.7267571611919497</v>
      </c>
      <c r="AC51">
        <v>0.61764705882352899</v>
      </c>
      <c r="AD51">
        <v>42</v>
      </c>
      <c r="AE51">
        <v>0.51724137931034397</v>
      </c>
      <c r="AF51">
        <v>15</v>
      </c>
      <c r="AG51">
        <v>0.48275862068965503</v>
      </c>
      <c r="AH51">
        <v>14</v>
      </c>
      <c r="AI51">
        <v>0.38235294117647001</v>
      </c>
      <c r="AJ51">
        <v>26</v>
      </c>
      <c r="AK51">
        <v>0.73684210526315697</v>
      </c>
      <c r="AL51">
        <v>0.61764705882352899</v>
      </c>
      <c r="AM51">
        <v>0.67199999999999904</v>
      </c>
      <c r="AN51">
        <v>9.3377944876201199E-2</v>
      </c>
      <c r="AO51">
        <v>0.557809330628803</v>
      </c>
      <c r="AP51">
        <v>0.71484543788396604</v>
      </c>
      <c r="AQ51">
        <v>0.57731958762886504</v>
      </c>
      <c r="AR51">
        <v>0.47691390811568102</v>
      </c>
      <c r="AS51">
        <v>0.52308609188431798</v>
      </c>
      <c r="AT51">
        <v>0.42268041237113402</v>
      </c>
      <c r="AU51">
        <v>0.62118827997829595</v>
      </c>
      <c r="AV51">
        <v>0.57731958762886504</v>
      </c>
      <c r="AW51">
        <v>0.59241356641266996</v>
      </c>
      <c r="AX51">
        <v>9.3377944876201199E-2</v>
      </c>
      <c r="AY51">
        <v>0.557809330628803</v>
      </c>
      <c r="AZ51">
        <v>0.60890989504752502</v>
      </c>
      <c r="BA51">
        <v>0.53889855072463699</v>
      </c>
      <c r="BB51">
        <v>0.57731958762886504</v>
      </c>
      <c r="BC51">
        <v>1.3260000000000001</v>
      </c>
      <c r="BD51">
        <v>1E-3</v>
      </c>
      <c r="BE51">
        <v>1.317509</v>
      </c>
      <c r="BF51" s="1">
        <v>9.4899999999999997E-4</v>
      </c>
      <c r="BG51">
        <v>1317.509</v>
      </c>
      <c r="BH51">
        <v>0.94899999999999995</v>
      </c>
      <c r="BI51">
        <v>86241</v>
      </c>
      <c r="BJ51">
        <v>23725</v>
      </c>
      <c r="BK51">
        <v>13697</v>
      </c>
      <c r="BL51">
        <v>73.195876288659704</v>
      </c>
      <c r="BM51">
        <v>67.525773195876198</v>
      </c>
      <c r="BN51" t="s">
        <v>95</v>
      </c>
      <c r="BO51" t="s">
        <v>95</v>
      </c>
      <c r="BP51" t="s">
        <v>95</v>
      </c>
      <c r="BQ51" t="s">
        <v>95</v>
      </c>
    </row>
    <row r="52" spans="1:69" x14ac:dyDescent="0.2">
      <c r="A52" t="s">
        <v>69</v>
      </c>
      <c r="B52">
        <v>21</v>
      </c>
      <c r="C52" t="s">
        <v>93</v>
      </c>
      <c r="D52" t="s">
        <v>94</v>
      </c>
      <c r="E52">
        <v>-5.9906078170482104E+18</v>
      </c>
      <c r="F52" s="1">
        <v>20250406.2212</v>
      </c>
      <c r="G52">
        <v>189</v>
      </c>
      <c r="H52">
        <v>97</v>
      </c>
      <c r="I52">
        <v>67</v>
      </c>
      <c r="J52">
        <v>30</v>
      </c>
      <c r="K52">
        <v>0</v>
      </c>
      <c r="L52">
        <v>69.072164948453604</v>
      </c>
      <c r="M52">
        <v>30.9278350515463</v>
      </c>
      <c r="N52">
        <v>0</v>
      </c>
      <c r="O52">
        <v>0.19878854625550599</v>
      </c>
      <c r="P52">
        <v>0.344584459173783</v>
      </c>
      <c r="Q52">
        <v>0.53809660705711904</v>
      </c>
      <c r="R52">
        <v>82.248341601554699</v>
      </c>
      <c r="S52">
        <v>117.53798218319299</v>
      </c>
      <c r="T52">
        <v>85.362720957561507</v>
      </c>
      <c r="U52">
        <v>227.043070739359</v>
      </c>
      <c r="V52">
        <v>-141.68034978179699</v>
      </c>
      <c r="W52">
        <v>0.88002805110888205</v>
      </c>
      <c r="X52">
        <v>2.34065021380782</v>
      </c>
      <c r="Y52">
        <v>-1.46062216269894</v>
      </c>
      <c r="Z52">
        <v>10.330861287944201</v>
      </c>
      <c r="AA52">
        <v>0.10650372461798201</v>
      </c>
      <c r="AB52">
        <v>12.102310202928299</v>
      </c>
      <c r="AC52">
        <v>0.83823529411764697</v>
      </c>
      <c r="AD52">
        <v>57</v>
      </c>
      <c r="AE52">
        <v>0.65517241379310298</v>
      </c>
      <c r="AF52">
        <v>19</v>
      </c>
      <c r="AG52">
        <v>0.34482758620689602</v>
      </c>
      <c r="AH52">
        <v>10</v>
      </c>
      <c r="AI52">
        <v>0.16176470588235201</v>
      </c>
      <c r="AJ52">
        <v>11</v>
      </c>
      <c r="AK52">
        <v>0.75</v>
      </c>
      <c r="AL52">
        <v>0.83823529411764697</v>
      </c>
      <c r="AM52">
        <v>0.79166666666666596</v>
      </c>
      <c r="AN52">
        <v>0.20348729708119001</v>
      </c>
      <c r="AO52">
        <v>0.58443204868154097</v>
      </c>
      <c r="AP52">
        <v>0.77701080704543102</v>
      </c>
      <c r="AQ52">
        <v>0.69072164948453596</v>
      </c>
      <c r="AR52">
        <v>0.50765876915999197</v>
      </c>
      <c r="AS52">
        <v>0.49234123084000703</v>
      </c>
      <c r="AT52">
        <v>0.30927835051546299</v>
      </c>
      <c r="AU52">
        <v>0.66813942071674004</v>
      </c>
      <c r="AV52">
        <v>0.69072164948453596</v>
      </c>
      <c r="AW52">
        <v>0.67457044673539501</v>
      </c>
      <c r="AX52">
        <v>0.20348729708119001</v>
      </c>
      <c r="AY52">
        <v>0.58443204868154097</v>
      </c>
      <c r="AZ52">
        <v>0.67514201078979796</v>
      </c>
      <c r="BA52">
        <v>0.59583333333333299</v>
      </c>
      <c r="BB52">
        <v>0.69072164948453596</v>
      </c>
      <c r="BC52">
        <v>1.343</v>
      </c>
      <c r="BD52">
        <v>1E-3</v>
      </c>
      <c r="BE52">
        <v>1.32704</v>
      </c>
      <c r="BF52" s="1">
        <v>9.3400000000000004E-4</v>
      </c>
      <c r="BG52">
        <v>1327.04</v>
      </c>
      <c r="BH52">
        <v>0.93400000000000005</v>
      </c>
      <c r="BI52">
        <v>86241</v>
      </c>
      <c r="BJ52">
        <v>23725</v>
      </c>
      <c r="BK52">
        <v>13697</v>
      </c>
      <c r="BL52">
        <v>78.350515463917503</v>
      </c>
      <c r="BM52">
        <v>64.948453608247405</v>
      </c>
      <c r="BN52" t="s">
        <v>95</v>
      </c>
      <c r="BO52" t="s">
        <v>95</v>
      </c>
      <c r="BP52" t="s">
        <v>95</v>
      </c>
      <c r="BQ52" t="s">
        <v>95</v>
      </c>
    </row>
    <row r="53" spans="1:69" x14ac:dyDescent="0.2">
      <c r="A53" t="s">
        <v>69</v>
      </c>
      <c r="B53">
        <v>22</v>
      </c>
      <c r="C53" t="s">
        <v>93</v>
      </c>
      <c r="D53" t="s">
        <v>94</v>
      </c>
      <c r="E53">
        <v>-5.9906078170482104E+18</v>
      </c>
      <c r="F53" s="1">
        <v>20250406.2212</v>
      </c>
      <c r="G53">
        <v>189</v>
      </c>
      <c r="H53">
        <v>97</v>
      </c>
      <c r="I53">
        <v>70</v>
      </c>
      <c r="J53">
        <v>27</v>
      </c>
      <c r="K53">
        <v>0</v>
      </c>
      <c r="L53">
        <v>72.164948453608204</v>
      </c>
      <c r="M53">
        <v>27.8350515463917</v>
      </c>
      <c r="N53">
        <v>0</v>
      </c>
      <c r="O53">
        <v>0.35508495444471799</v>
      </c>
      <c r="P53">
        <v>0.30032943602810602</v>
      </c>
      <c r="Q53">
        <v>0.50781290376564803</v>
      </c>
      <c r="R53">
        <v>71.6851772905529</v>
      </c>
      <c r="S53">
        <v>110.923026186014</v>
      </c>
      <c r="T53">
        <v>85.362720957561507</v>
      </c>
      <c r="U53">
        <v>232.237612834076</v>
      </c>
      <c r="V53">
        <v>-146.87489187651499</v>
      </c>
      <c r="W53">
        <v>0.88002805110888205</v>
      </c>
      <c r="X53">
        <v>2.3942021941657301</v>
      </c>
      <c r="Y53">
        <v>-1.5141741430568501</v>
      </c>
      <c r="Z53">
        <v>20.501991380494399</v>
      </c>
      <c r="AA53">
        <v>0.21136073588138499</v>
      </c>
      <c r="AB53">
        <v>24.017499852994401</v>
      </c>
      <c r="AC53">
        <v>0.77941176470588203</v>
      </c>
      <c r="AD53">
        <v>53</v>
      </c>
      <c r="AE53">
        <v>0.41379310344827502</v>
      </c>
      <c r="AF53">
        <v>12</v>
      </c>
      <c r="AG53">
        <v>0.58620689655172398</v>
      </c>
      <c r="AH53">
        <v>17</v>
      </c>
      <c r="AI53">
        <v>0.220588235294117</v>
      </c>
      <c r="AJ53">
        <v>15</v>
      </c>
      <c r="AK53">
        <v>0.81538461538461504</v>
      </c>
      <c r="AL53">
        <v>0.77941176470588203</v>
      </c>
      <c r="AM53">
        <v>0.79699248120300703</v>
      </c>
      <c r="AN53">
        <v>0.356000118009065</v>
      </c>
      <c r="AO53">
        <v>0.71323529411764697</v>
      </c>
      <c r="AP53">
        <v>0.85302750919140302</v>
      </c>
      <c r="AQ53">
        <v>0.72164948453608202</v>
      </c>
      <c r="AR53">
        <v>0.35603082327847502</v>
      </c>
      <c r="AS53">
        <v>0.64396917672152398</v>
      </c>
      <c r="AT53">
        <v>0.27835051546391698</v>
      </c>
      <c r="AU53">
        <v>0.73043715305313195</v>
      </c>
      <c r="AV53">
        <v>0.72164948453608202</v>
      </c>
      <c r="AW53">
        <v>0.72535487781478303</v>
      </c>
      <c r="AX53">
        <v>0.356000118009065</v>
      </c>
      <c r="AY53">
        <v>0.71323529411764697</v>
      </c>
      <c r="AZ53">
        <v>0.74617247212820703</v>
      </c>
      <c r="BA53">
        <v>0.67718476519166704</v>
      </c>
      <c r="BB53">
        <v>0.72164948453608202</v>
      </c>
      <c r="BC53">
        <v>1.4450000000000001</v>
      </c>
      <c r="BD53">
        <v>1E-3</v>
      </c>
      <c r="BE53">
        <v>1.3383560000000001</v>
      </c>
      <c r="BF53">
        <v>1.077E-3</v>
      </c>
      <c r="BG53">
        <v>1338.356</v>
      </c>
      <c r="BH53">
        <v>1.077</v>
      </c>
      <c r="BI53">
        <v>86241</v>
      </c>
      <c r="BJ53">
        <v>23725</v>
      </c>
      <c r="BK53">
        <v>13697</v>
      </c>
      <c r="BL53">
        <v>80.412371134020603</v>
      </c>
      <c r="BM53">
        <v>61.855670103092699</v>
      </c>
      <c r="BN53" t="s">
        <v>95</v>
      </c>
      <c r="BO53" t="s">
        <v>95</v>
      </c>
      <c r="BP53" t="s">
        <v>95</v>
      </c>
      <c r="BQ53" t="s">
        <v>95</v>
      </c>
    </row>
    <row r="54" spans="1:69" x14ac:dyDescent="0.2">
      <c r="A54" t="s">
        <v>69</v>
      </c>
      <c r="B54">
        <v>23</v>
      </c>
      <c r="C54" t="s">
        <v>93</v>
      </c>
      <c r="D54" t="s">
        <v>94</v>
      </c>
      <c r="E54">
        <v>-5.9906078170482104E+18</v>
      </c>
      <c r="F54" s="1">
        <v>20250406.2212</v>
      </c>
      <c r="G54">
        <v>188</v>
      </c>
      <c r="H54">
        <v>98</v>
      </c>
      <c r="I54">
        <v>62</v>
      </c>
      <c r="J54">
        <v>36</v>
      </c>
      <c r="K54">
        <v>0</v>
      </c>
      <c r="L54">
        <v>63.265306122448898</v>
      </c>
      <c r="M54">
        <v>36.734693877551003</v>
      </c>
      <c r="N54">
        <v>0</v>
      </c>
      <c r="O54">
        <v>0.10045894951555299</v>
      </c>
      <c r="P54">
        <v>0.36742019845079599</v>
      </c>
      <c r="Q54">
        <v>0.58160022053565597</v>
      </c>
      <c r="R54">
        <v>87.822388897995296</v>
      </c>
      <c r="S54">
        <v>127.411823554249</v>
      </c>
      <c r="T54">
        <v>85.877551156073196</v>
      </c>
      <c r="U54">
        <v>334.52985421617598</v>
      </c>
      <c r="V54">
        <v>-248.65230306010301</v>
      </c>
      <c r="W54">
        <v>0.87630154240891001</v>
      </c>
      <c r="X54">
        <v>3.41356994098139</v>
      </c>
      <c r="Y54">
        <v>-2.53726839857248</v>
      </c>
      <c r="Z54">
        <v>4.5961718695077698</v>
      </c>
      <c r="AA54">
        <v>4.6899712954160899E-2</v>
      </c>
      <c r="AB54">
        <v>5.3520062084149602</v>
      </c>
      <c r="AC54">
        <v>0.75362318840579701</v>
      </c>
      <c r="AD54">
        <v>52</v>
      </c>
      <c r="AE54">
        <v>0.65517241379310298</v>
      </c>
      <c r="AF54">
        <v>19</v>
      </c>
      <c r="AG54">
        <v>0.34482758620689602</v>
      </c>
      <c r="AH54">
        <v>10</v>
      </c>
      <c r="AI54">
        <v>0.24637681159420199</v>
      </c>
      <c r="AJ54">
        <v>17</v>
      </c>
      <c r="AK54">
        <v>0.73239436619718301</v>
      </c>
      <c r="AL54">
        <v>0.75362318840579701</v>
      </c>
      <c r="AM54">
        <v>0.74285714285714199</v>
      </c>
      <c r="AN54">
        <v>0.100584630624887</v>
      </c>
      <c r="AO54">
        <v>0.58620689655172398</v>
      </c>
      <c r="AP54">
        <v>0.76877568191976497</v>
      </c>
      <c r="AQ54">
        <v>0.63265306122448906</v>
      </c>
      <c r="AR54">
        <v>0.53420228661179603</v>
      </c>
      <c r="AS54">
        <v>0.46579771338820303</v>
      </c>
      <c r="AT54">
        <v>0.36734693877551</v>
      </c>
      <c r="AU54">
        <v>0.62526481641169696</v>
      </c>
      <c r="AV54">
        <v>0.63265306122448906</v>
      </c>
      <c r="AW54">
        <v>0.62871720116618002</v>
      </c>
      <c r="AX54">
        <v>0.100584630624887</v>
      </c>
      <c r="AY54">
        <v>0.58620689655172398</v>
      </c>
      <c r="AZ54">
        <v>0.65263114621138396</v>
      </c>
      <c r="BA54">
        <v>0.54999999999999905</v>
      </c>
      <c r="BB54">
        <v>0.63265306122448906</v>
      </c>
      <c r="BC54">
        <v>1.4079999999999999</v>
      </c>
      <c r="BD54">
        <v>1E-3</v>
      </c>
      <c r="BE54">
        <v>1.323007</v>
      </c>
      <c r="BF54" s="1">
        <v>8.7399999999999999E-4</v>
      </c>
      <c r="BG54">
        <v>1323.0070000000001</v>
      </c>
      <c r="BH54">
        <v>0.874</v>
      </c>
      <c r="BI54">
        <v>86241</v>
      </c>
      <c r="BJ54">
        <v>23616</v>
      </c>
      <c r="BK54">
        <v>13806</v>
      </c>
      <c r="BL54">
        <v>70.408163265306101</v>
      </c>
      <c r="BM54">
        <v>58.673469387755098</v>
      </c>
      <c r="BN54" t="s">
        <v>95</v>
      </c>
      <c r="BO54" t="s">
        <v>95</v>
      </c>
      <c r="BP54" t="s">
        <v>95</v>
      </c>
      <c r="BQ54" t="s">
        <v>95</v>
      </c>
    </row>
    <row r="55" spans="1:69" x14ac:dyDescent="0.2">
      <c r="A55" t="s">
        <v>69</v>
      </c>
      <c r="B55">
        <v>24</v>
      </c>
      <c r="C55" t="s">
        <v>93</v>
      </c>
      <c r="D55" t="s">
        <v>94</v>
      </c>
      <c r="E55">
        <v>-5.9906078170482104E+18</v>
      </c>
      <c r="F55" s="1">
        <v>20250406.2212</v>
      </c>
      <c r="G55">
        <v>189</v>
      </c>
      <c r="H55">
        <v>97</v>
      </c>
      <c r="I55">
        <v>67</v>
      </c>
      <c r="J55">
        <v>30</v>
      </c>
      <c r="K55">
        <v>0</v>
      </c>
      <c r="L55">
        <v>69.072164948453604</v>
      </c>
      <c r="M55">
        <v>30.9278350515463</v>
      </c>
      <c r="N55">
        <v>0</v>
      </c>
      <c r="O55">
        <v>0.215633423180592</v>
      </c>
      <c r="P55">
        <v>0.34134823779941897</v>
      </c>
      <c r="Q55">
        <v>0.51720305103807895</v>
      </c>
      <c r="R55">
        <v>81.475892833159506</v>
      </c>
      <c r="S55">
        <v>112.97414293406599</v>
      </c>
      <c r="T55">
        <v>85.362720957561507</v>
      </c>
      <c r="U55">
        <v>171.58794637567601</v>
      </c>
      <c r="V55">
        <v>-86.225225418114903</v>
      </c>
      <c r="W55">
        <v>0.88002805110888205</v>
      </c>
      <c r="X55">
        <v>1.7689479007801701</v>
      </c>
      <c r="Y55">
        <v>-0.88891984967128801</v>
      </c>
      <c r="Z55">
        <v>11.1667855739261</v>
      </c>
      <c r="AA55">
        <v>0.115121500762124</v>
      </c>
      <c r="AB55">
        <v>13.081571731385701</v>
      </c>
      <c r="AC55">
        <v>0.82352941176470495</v>
      </c>
      <c r="AD55">
        <v>56</v>
      </c>
      <c r="AE55">
        <v>0.62068965517241304</v>
      </c>
      <c r="AF55">
        <v>18</v>
      </c>
      <c r="AG55">
        <v>0.37931034482758602</v>
      </c>
      <c r="AH55">
        <v>11</v>
      </c>
      <c r="AI55">
        <v>0.17647058823529399</v>
      </c>
      <c r="AJ55">
        <v>12</v>
      </c>
      <c r="AK55">
        <v>0.75675675675675602</v>
      </c>
      <c r="AL55">
        <v>0.82352941176470495</v>
      </c>
      <c r="AM55">
        <v>0.78873239436619702</v>
      </c>
      <c r="AN55">
        <v>0.218336708132296</v>
      </c>
      <c r="AO55">
        <v>0.60141987829614596</v>
      </c>
      <c r="AP55">
        <v>0.78810539390117595</v>
      </c>
      <c r="AQ55">
        <v>0.69072164948453596</v>
      </c>
      <c r="AR55">
        <v>0.48788189289224398</v>
      </c>
      <c r="AS55">
        <v>0.51211810710775596</v>
      </c>
      <c r="AT55">
        <v>0.30927835051546299</v>
      </c>
      <c r="AU55">
        <v>0.67349509976134803</v>
      </c>
      <c r="AV55">
        <v>0.69072164948453596</v>
      </c>
      <c r="AW55">
        <v>0.67941271738280595</v>
      </c>
      <c r="AX55">
        <v>0.218336708132296</v>
      </c>
      <c r="AY55">
        <v>0.60141987829614596</v>
      </c>
      <c r="AZ55">
        <v>0.69851585654911996</v>
      </c>
      <c r="BA55">
        <v>0.60590465872155996</v>
      </c>
      <c r="BB55">
        <v>0.69072164948453596</v>
      </c>
      <c r="BC55">
        <v>1.333</v>
      </c>
      <c r="BD55">
        <v>1E-3</v>
      </c>
      <c r="BE55">
        <v>1.322187</v>
      </c>
      <c r="BF55" s="1">
        <v>8.3499999999999905E-4</v>
      </c>
      <c r="BG55">
        <v>1322.1869999999999</v>
      </c>
      <c r="BH55">
        <v>0.83499999999999996</v>
      </c>
      <c r="BI55">
        <v>86241</v>
      </c>
      <c r="BJ55">
        <v>23725</v>
      </c>
      <c r="BK55">
        <v>13697</v>
      </c>
      <c r="BL55">
        <v>83.505154639175203</v>
      </c>
      <c r="BM55">
        <v>70.103092783505105</v>
      </c>
      <c r="BN55" t="s">
        <v>95</v>
      </c>
      <c r="BO55" t="s">
        <v>95</v>
      </c>
      <c r="BP55" t="s">
        <v>95</v>
      </c>
      <c r="BQ55" t="s">
        <v>95</v>
      </c>
    </row>
    <row r="56" spans="1:69" x14ac:dyDescent="0.2">
      <c r="A56" t="s">
        <v>69</v>
      </c>
      <c r="B56">
        <v>25</v>
      </c>
      <c r="C56" t="s">
        <v>93</v>
      </c>
      <c r="D56" t="s">
        <v>94</v>
      </c>
      <c r="E56">
        <v>-5.9906078170482104E+18</v>
      </c>
      <c r="F56" s="1">
        <v>20250406.2212</v>
      </c>
      <c r="G56">
        <v>188</v>
      </c>
      <c r="H56">
        <v>98</v>
      </c>
      <c r="I56">
        <v>74</v>
      </c>
      <c r="J56">
        <v>24</v>
      </c>
      <c r="K56">
        <v>0</v>
      </c>
      <c r="L56">
        <v>75.510204081632594</v>
      </c>
      <c r="M56">
        <v>24.4897959183673</v>
      </c>
      <c r="N56">
        <v>0</v>
      </c>
      <c r="O56">
        <v>0.37480063795853202</v>
      </c>
      <c r="P56">
        <v>0.27763517392381298</v>
      </c>
      <c r="Q56">
        <v>0.480421624746595</v>
      </c>
      <c r="R56">
        <v>66.361578157399293</v>
      </c>
      <c r="S56">
        <v>105.246513193346</v>
      </c>
      <c r="T56">
        <v>85.877551156073196</v>
      </c>
      <c r="U56">
        <v>176.64062150921799</v>
      </c>
      <c r="V56">
        <v>-90.763070353145693</v>
      </c>
      <c r="W56">
        <v>0.87630154240891001</v>
      </c>
      <c r="X56">
        <v>1.80245532152264</v>
      </c>
      <c r="Y56">
        <v>-0.92615377911373098</v>
      </c>
      <c r="Z56">
        <v>25.8471622845735</v>
      </c>
      <c r="AA56">
        <v>0.26374655392421897</v>
      </c>
      <c r="AB56">
        <v>30.0976936773605</v>
      </c>
      <c r="AC56">
        <v>0.86956521739130399</v>
      </c>
      <c r="AD56">
        <v>60</v>
      </c>
      <c r="AE56">
        <v>0.51724137931034397</v>
      </c>
      <c r="AF56">
        <v>15</v>
      </c>
      <c r="AG56">
        <v>0.48275862068965503</v>
      </c>
      <c r="AH56">
        <v>14</v>
      </c>
      <c r="AI56">
        <v>0.13043478260869501</v>
      </c>
      <c r="AJ56">
        <v>9</v>
      </c>
      <c r="AK56">
        <v>0.8</v>
      </c>
      <c r="AL56">
        <v>0.86956521739130399</v>
      </c>
      <c r="AM56">
        <v>0.83333333333333304</v>
      </c>
      <c r="AN56">
        <v>0.37946438670962701</v>
      </c>
      <c r="AO56">
        <v>0.63893053473263295</v>
      </c>
      <c r="AP56">
        <v>0.79477651380041003</v>
      </c>
      <c r="AQ56">
        <v>0.75510204081632604</v>
      </c>
      <c r="AR56">
        <v>0.40277820273536702</v>
      </c>
      <c r="AS56">
        <v>0.59722179726463298</v>
      </c>
      <c r="AT56">
        <v>0.24489795918367299</v>
      </c>
      <c r="AU56">
        <v>0.743389529724933</v>
      </c>
      <c r="AV56">
        <v>0.75510204081632604</v>
      </c>
      <c r="AW56">
        <v>0.74607535321820995</v>
      </c>
      <c r="AX56">
        <v>0.37946438670962701</v>
      </c>
      <c r="AY56">
        <v>0.63893053473263295</v>
      </c>
      <c r="AZ56">
        <v>0.73542693636485301</v>
      </c>
      <c r="BA56">
        <v>0.68589743589743501</v>
      </c>
      <c r="BB56">
        <v>0.75510204081632604</v>
      </c>
      <c r="BC56">
        <v>1.4370000000000001</v>
      </c>
      <c r="BD56">
        <v>1E-3</v>
      </c>
      <c r="BE56">
        <v>1.3478409999999901</v>
      </c>
      <c r="BF56" s="1">
        <v>8.8699999999999998E-4</v>
      </c>
      <c r="BG56">
        <v>1347.8409999999999</v>
      </c>
      <c r="BH56">
        <v>0.88700000000000001</v>
      </c>
      <c r="BI56">
        <v>86241</v>
      </c>
      <c r="BJ56">
        <v>23616</v>
      </c>
      <c r="BK56">
        <v>13806</v>
      </c>
      <c r="BL56">
        <v>80.612244897959101</v>
      </c>
      <c r="BM56">
        <v>61.224489795918302</v>
      </c>
      <c r="BN56" t="s">
        <v>95</v>
      </c>
      <c r="BO56" t="s">
        <v>95</v>
      </c>
      <c r="BP56" t="s">
        <v>95</v>
      </c>
      <c r="BQ56" t="s">
        <v>95</v>
      </c>
    </row>
    <row r="57" spans="1:69" x14ac:dyDescent="0.2">
      <c r="A57" t="s">
        <v>69</v>
      </c>
      <c r="B57">
        <v>26</v>
      </c>
      <c r="C57" t="s">
        <v>93</v>
      </c>
      <c r="D57" t="s">
        <v>94</v>
      </c>
      <c r="E57">
        <v>-5.9906078170482104E+18</v>
      </c>
      <c r="F57" s="1">
        <v>20250406.2212</v>
      </c>
      <c r="G57">
        <v>188</v>
      </c>
      <c r="H57">
        <v>98</v>
      </c>
      <c r="I57">
        <v>66</v>
      </c>
      <c r="J57">
        <v>32</v>
      </c>
      <c r="K57">
        <v>0</v>
      </c>
      <c r="L57">
        <v>67.346938775510196</v>
      </c>
      <c r="M57">
        <v>32.653061224489797</v>
      </c>
      <c r="N57">
        <v>0</v>
      </c>
      <c r="O57">
        <v>0.21639180409795</v>
      </c>
      <c r="P57">
        <v>0.32857697381697698</v>
      </c>
      <c r="Q57">
        <v>0.52604694798997098</v>
      </c>
      <c r="R57">
        <v>78.537910814789797</v>
      </c>
      <c r="S57">
        <v>115.241704786184</v>
      </c>
      <c r="T57">
        <v>85.877551156073196</v>
      </c>
      <c r="U57">
        <v>170.89153400729001</v>
      </c>
      <c r="V57">
        <v>-85.013982851217605</v>
      </c>
      <c r="W57">
        <v>0.87630154240891001</v>
      </c>
      <c r="X57">
        <v>1.7437911633397001</v>
      </c>
      <c r="Y57">
        <v>-0.86748962093079196</v>
      </c>
      <c r="Z57">
        <v>13.865571067874599</v>
      </c>
      <c r="AA57">
        <v>0.14148541905994499</v>
      </c>
      <c r="AB57">
        <v>16.145745752199499</v>
      </c>
      <c r="AC57">
        <v>0.76811594202898503</v>
      </c>
      <c r="AD57">
        <v>53</v>
      </c>
      <c r="AE57">
        <v>0.55172413793103403</v>
      </c>
      <c r="AF57">
        <v>16</v>
      </c>
      <c r="AG57">
        <v>0.44827586206896503</v>
      </c>
      <c r="AH57">
        <v>13</v>
      </c>
      <c r="AI57">
        <v>0.231884057971014</v>
      </c>
      <c r="AJ57">
        <v>16</v>
      </c>
      <c r="AK57">
        <v>0.76811594202898503</v>
      </c>
      <c r="AL57">
        <v>0.76811594202898503</v>
      </c>
      <c r="AM57">
        <v>0.76811594202898503</v>
      </c>
      <c r="AN57">
        <v>0.216391804097951</v>
      </c>
      <c r="AO57">
        <v>0.67016491754122898</v>
      </c>
      <c r="AP57">
        <v>0.82077181232483898</v>
      </c>
      <c r="AQ57">
        <v>0.67346938775510201</v>
      </c>
      <c r="AR57">
        <v>0.45707758365715101</v>
      </c>
      <c r="AS57">
        <v>0.54292241634284899</v>
      </c>
      <c r="AT57">
        <v>0.32653061224489699</v>
      </c>
      <c r="AU57">
        <v>0.67346938775510201</v>
      </c>
      <c r="AV57">
        <v>0.67346938775510201</v>
      </c>
      <c r="AW57">
        <v>0.67346938775510201</v>
      </c>
      <c r="AX57">
        <v>0.216391804097951</v>
      </c>
      <c r="AY57">
        <v>0.67016491754122898</v>
      </c>
      <c r="AZ57">
        <v>0.73642609767854905</v>
      </c>
      <c r="BA57">
        <v>0.608195902048975</v>
      </c>
      <c r="BB57">
        <v>0.67346938775510201</v>
      </c>
      <c r="BC57">
        <v>1.3560000000000001</v>
      </c>
      <c r="BD57">
        <v>1E-3</v>
      </c>
      <c r="BE57">
        <v>1.333901</v>
      </c>
      <c r="BF57" s="1">
        <v>8.2899999999999998E-4</v>
      </c>
      <c r="BG57">
        <v>1333.9010000000001</v>
      </c>
      <c r="BH57">
        <v>0.82899999999999996</v>
      </c>
      <c r="BI57">
        <v>86241</v>
      </c>
      <c r="BJ57">
        <v>23616</v>
      </c>
      <c r="BK57">
        <v>13806</v>
      </c>
      <c r="BL57">
        <v>79.5918367346938</v>
      </c>
      <c r="BM57">
        <v>64.7959183673469</v>
      </c>
      <c r="BN57" t="s">
        <v>95</v>
      </c>
      <c r="BO57" t="s">
        <v>95</v>
      </c>
      <c r="BP57" t="s">
        <v>95</v>
      </c>
      <c r="BQ57" t="s">
        <v>95</v>
      </c>
    </row>
    <row r="58" spans="1:69" x14ac:dyDescent="0.2">
      <c r="A58" t="s">
        <v>69</v>
      </c>
      <c r="B58">
        <v>27</v>
      </c>
      <c r="C58" t="s">
        <v>93</v>
      </c>
      <c r="D58" t="s">
        <v>94</v>
      </c>
      <c r="E58">
        <v>-5.9906078170482104E+18</v>
      </c>
      <c r="F58" s="1">
        <v>20250406.2212</v>
      </c>
      <c r="G58">
        <v>189</v>
      </c>
      <c r="H58">
        <v>97</v>
      </c>
      <c r="I58">
        <v>62</v>
      </c>
      <c r="J58">
        <v>35</v>
      </c>
      <c r="K58">
        <v>0</v>
      </c>
      <c r="L58">
        <v>63.917525773195798</v>
      </c>
      <c r="M58">
        <v>36.082474226804102</v>
      </c>
      <c r="N58">
        <v>0</v>
      </c>
      <c r="O58">
        <v>0.130601792573623</v>
      </c>
      <c r="P58">
        <v>0.35877535114226899</v>
      </c>
      <c r="Q58">
        <v>0.55277822674991295</v>
      </c>
      <c r="R58">
        <v>85.635544068704306</v>
      </c>
      <c r="S58">
        <v>120.744930398886</v>
      </c>
      <c r="T58">
        <v>85.362720957561507</v>
      </c>
      <c r="U58">
        <v>236.17470719148099</v>
      </c>
      <c r="V58">
        <v>-150.81198623391899</v>
      </c>
      <c r="W58">
        <v>0.88002805110888105</v>
      </c>
      <c r="X58">
        <v>2.43479079578846</v>
      </c>
      <c r="Y58">
        <v>-1.55476274467958</v>
      </c>
      <c r="Z58">
        <v>6.9537084601497403</v>
      </c>
      <c r="AA58">
        <v>7.1687716084017902E-2</v>
      </c>
      <c r="AB58">
        <v>8.1460717068833901</v>
      </c>
      <c r="AC58">
        <v>0.75</v>
      </c>
      <c r="AD58">
        <v>51</v>
      </c>
      <c r="AE58">
        <v>0.62068965517241304</v>
      </c>
      <c r="AF58">
        <v>18</v>
      </c>
      <c r="AG58">
        <v>0.37931034482758602</v>
      </c>
      <c r="AH58">
        <v>11</v>
      </c>
      <c r="AI58">
        <v>0.25</v>
      </c>
      <c r="AJ58">
        <v>17</v>
      </c>
      <c r="AK58">
        <v>0.73913043478260798</v>
      </c>
      <c r="AL58">
        <v>0.75</v>
      </c>
      <c r="AM58">
        <v>0.74452554744525501</v>
      </c>
      <c r="AN58">
        <v>0.13064210338766699</v>
      </c>
      <c r="AO58">
        <v>0.61739350912778901</v>
      </c>
      <c r="AP58">
        <v>0.78291422766599805</v>
      </c>
      <c r="AQ58">
        <v>0.63917525773195805</v>
      </c>
      <c r="AR58">
        <v>0.50986491290437197</v>
      </c>
      <c r="AS58">
        <v>0.49013508709562698</v>
      </c>
      <c r="AT58">
        <v>0.36082474226804101</v>
      </c>
      <c r="AU58">
        <v>0.63560542998014902</v>
      </c>
      <c r="AV58">
        <v>0.63917525773195805</v>
      </c>
      <c r="AW58">
        <v>0.63732700703523404</v>
      </c>
      <c r="AX58">
        <v>0.13064210338766699</v>
      </c>
      <c r="AY58">
        <v>0.61739350912778901</v>
      </c>
      <c r="AZ58">
        <v>0.67026997475830996</v>
      </c>
      <c r="BA58">
        <v>0.56524522986297798</v>
      </c>
      <c r="BB58">
        <v>0.63917525773195805</v>
      </c>
      <c r="BC58">
        <v>1.337</v>
      </c>
      <c r="BD58">
        <v>1E-3</v>
      </c>
      <c r="BE58">
        <v>1.3258540000000001</v>
      </c>
      <c r="BF58" s="1">
        <v>8.9800000000000004E-4</v>
      </c>
      <c r="BG58">
        <v>1325.854</v>
      </c>
      <c r="BH58">
        <v>0.89800000000000002</v>
      </c>
      <c r="BI58">
        <v>86241</v>
      </c>
      <c r="BJ58">
        <v>23725</v>
      </c>
      <c r="BK58">
        <v>13697</v>
      </c>
      <c r="BL58">
        <v>80.412371134020603</v>
      </c>
      <c r="BM58">
        <v>66.494845360824698</v>
      </c>
      <c r="BN58" t="s">
        <v>95</v>
      </c>
      <c r="BO58" t="s">
        <v>95</v>
      </c>
      <c r="BP58" t="s">
        <v>95</v>
      </c>
      <c r="BQ58" t="s">
        <v>95</v>
      </c>
    </row>
    <row r="59" spans="1:69" x14ac:dyDescent="0.2">
      <c r="A59" t="s">
        <v>69</v>
      </c>
      <c r="B59">
        <v>28</v>
      </c>
      <c r="C59" t="s">
        <v>93</v>
      </c>
      <c r="D59" t="s">
        <v>94</v>
      </c>
      <c r="E59">
        <v>-5.9906078170482104E+18</v>
      </c>
      <c r="F59" s="1">
        <v>20250406.2212</v>
      </c>
      <c r="G59">
        <v>189</v>
      </c>
      <c r="H59">
        <v>97</v>
      </c>
      <c r="I59">
        <v>64</v>
      </c>
      <c r="J59">
        <v>33</v>
      </c>
      <c r="K59">
        <v>0</v>
      </c>
      <c r="L59">
        <v>65.979381443298905</v>
      </c>
      <c r="M59">
        <v>34.020618556701002</v>
      </c>
      <c r="N59">
        <v>0</v>
      </c>
      <c r="O59">
        <v>0.19633442129048401</v>
      </c>
      <c r="P59">
        <v>0.35050002341643099</v>
      </c>
      <c r="Q59">
        <v>0.54996639788208102</v>
      </c>
      <c r="R59">
        <v>83.660318652875802</v>
      </c>
      <c r="S59">
        <v>120.13073457041401</v>
      </c>
      <c r="T59">
        <v>85.362720957561507</v>
      </c>
      <c r="U59">
        <v>215.37580523342601</v>
      </c>
      <c r="V59">
        <v>-130.013084275865</v>
      </c>
      <c r="W59">
        <v>0.88002805110888205</v>
      </c>
      <c r="X59">
        <v>2.2203691261178</v>
      </c>
      <c r="Y59">
        <v>-1.34034107500892</v>
      </c>
      <c r="Z59">
        <v>8.9079489079409395</v>
      </c>
      <c r="AA59">
        <v>9.1834524824133401E-2</v>
      </c>
      <c r="AB59">
        <v>10.435408815482299</v>
      </c>
      <c r="AC59">
        <v>0.75</v>
      </c>
      <c r="AD59">
        <v>51</v>
      </c>
      <c r="AE59">
        <v>0.55172413793103403</v>
      </c>
      <c r="AF59">
        <v>16</v>
      </c>
      <c r="AG59">
        <v>0.44827586206896503</v>
      </c>
      <c r="AH59">
        <v>13</v>
      </c>
      <c r="AI59">
        <v>0.25</v>
      </c>
      <c r="AJ59">
        <v>17</v>
      </c>
      <c r="AK59">
        <v>0.76119402985074602</v>
      </c>
      <c r="AL59">
        <v>0.75</v>
      </c>
      <c r="AM59">
        <v>0.75555555555555498</v>
      </c>
      <c r="AN59">
        <v>0.19639266949488199</v>
      </c>
      <c r="AO59">
        <v>0.61916835699797101</v>
      </c>
      <c r="AP59">
        <v>0.783942740052325</v>
      </c>
      <c r="AQ59">
        <v>0.65979381443298901</v>
      </c>
      <c r="AR59">
        <v>0.46151795236402399</v>
      </c>
      <c r="AS59">
        <v>0.53848204763597496</v>
      </c>
      <c r="AT59">
        <v>0.34020618556700999</v>
      </c>
      <c r="AU59">
        <v>0.66317382161358096</v>
      </c>
      <c r="AV59">
        <v>0.65979381443298901</v>
      </c>
      <c r="AW59">
        <v>0.66141689479099897</v>
      </c>
      <c r="AX59">
        <v>0.19639266949488199</v>
      </c>
      <c r="AY59">
        <v>0.61916835699797101</v>
      </c>
      <c r="AZ59">
        <v>0.69860871980379402</v>
      </c>
      <c r="BA59">
        <v>0.59811676082862497</v>
      </c>
      <c r="BB59">
        <v>0.65979381443298901</v>
      </c>
      <c r="BC59">
        <v>1.33</v>
      </c>
      <c r="BD59">
        <v>1E-3</v>
      </c>
      <c r="BE59">
        <v>1.3229759999999999</v>
      </c>
      <c r="BF59" s="1">
        <v>9.1600000000000004E-4</v>
      </c>
      <c r="BG59">
        <v>1322.9760000000001</v>
      </c>
      <c r="BH59">
        <v>0.91600000000000004</v>
      </c>
      <c r="BI59">
        <v>86241</v>
      </c>
      <c r="BJ59">
        <v>23725</v>
      </c>
      <c r="BK59">
        <v>13697</v>
      </c>
      <c r="BL59">
        <v>80.412371134020603</v>
      </c>
      <c r="BM59">
        <v>66.494845360824698</v>
      </c>
      <c r="BN59" t="s">
        <v>95</v>
      </c>
      <c r="BO59" t="s">
        <v>95</v>
      </c>
      <c r="BP59" t="s">
        <v>95</v>
      </c>
      <c r="BQ59" t="s">
        <v>95</v>
      </c>
    </row>
    <row r="60" spans="1:69" x14ac:dyDescent="0.2">
      <c r="A60" t="s">
        <v>69</v>
      </c>
      <c r="B60">
        <v>29</v>
      </c>
      <c r="C60" t="s">
        <v>93</v>
      </c>
      <c r="D60" t="s">
        <v>94</v>
      </c>
      <c r="E60">
        <v>-5.9906078170482104E+18</v>
      </c>
      <c r="F60" s="1">
        <v>20250406.2212</v>
      </c>
      <c r="G60">
        <v>189</v>
      </c>
      <c r="H60">
        <v>97</v>
      </c>
      <c r="I60">
        <v>64</v>
      </c>
      <c r="J60">
        <v>33</v>
      </c>
      <c r="K60">
        <v>0</v>
      </c>
      <c r="L60">
        <v>65.979381443298905</v>
      </c>
      <c r="M60">
        <v>34.020618556701002</v>
      </c>
      <c r="N60">
        <v>0</v>
      </c>
      <c r="O60">
        <v>0.12803050939798399</v>
      </c>
      <c r="P60">
        <v>0.36414077575173698</v>
      </c>
      <c r="Q60">
        <v>0.55886158088649796</v>
      </c>
      <c r="R60">
        <v>86.916209125900906</v>
      </c>
      <c r="S60">
        <v>122.07373485656601</v>
      </c>
      <c r="T60">
        <v>85.362720957561507</v>
      </c>
      <c r="U60">
        <v>224.314905952033</v>
      </c>
      <c r="V60">
        <v>-138.952184994471</v>
      </c>
      <c r="W60">
        <v>0.88002805110888205</v>
      </c>
      <c r="X60">
        <v>2.3125248036291999</v>
      </c>
      <c r="Y60">
        <v>-1.43249675252032</v>
      </c>
      <c r="Z60">
        <v>6.11487563340226</v>
      </c>
      <c r="AA60">
        <v>6.3039954983528504E-2</v>
      </c>
      <c r="AB60">
        <v>7.1634029056340598</v>
      </c>
      <c r="AC60">
        <v>0.80882352941176405</v>
      </c>
      <c r="AD60">
        <v>55</v>
      </c>
      <c r="AE60">
        <v>0.68965517241379304</v>
      </c>
      <c r="AF60">
        <v>20</v>
      </c>
      <c r="AG60">
        <v>0.31034482758620602</v>
      </c>
      <c r="AH60">
        <v>9</v>
      </c>
      <c r="AI60">
        <v>0.191176470588235</v>
      </c>
      <c r="AJ60">
        <v>13</v>
      </c>
      <c r="AK60">
        <v>0.73333333333333295</v>
      </c>
      <c r="AL60">
        <v>0.80882352941176405</v>
      </c>
      <c r="AM60">
        <v>0.76923076923076905</v>
      </c>
      <c r="AN60">
        <v>0.130278405602685</v>
      </c>
      <c r="AO60">
        <v>0.54944219066937094</v>
      </c>
      <c r="AP60">
        <v>0.74571322950774899</v>
      </c>
      <c r="AQ60">
        <v>0.65979381443298901</v>
      </c>
      <c r="AR60">
        <v>0.540625457435018</v>
      </c>
      <c r="AS60">
        <v>0.459374542564982</v>
      </c>
      <c r="AT60">
        <v>0.34020618556700999</v>
      </c>
      <c r="AU60">
        <v>0.63639487660106198</v>
      </c>
      <c r="AV60">
        <v>0.65979381443298901</v>
      </c>
      <c r="AW60">
        <v>0.64477305593133305</v>
      </c>
      <c r="AX60">
        <v>0.130278405602685</v>
      </c>
      <c r="AY60">
        <v>0.54944219066937094</v>
      </c>
      <c r="AZ60">
        <v>0.63597515548542805</v>
      </c>
      <c r="BA60">
        <v>0.56108597285067796</v>
      </c>
      <c r="BB60">
        <v>0.65979381443298901</v>
      </c>
      <c r="BC60">
        <v>1.3560000000000001</v>
      </c>
      <c r="BD60">
        <v>1E-3</v>
      </c>
      <c r="BE60">
        <v>1.33972</v>
      </c>
      <c r="BF60" s="1">
        <v>9.19E-4</v>
      </c>
      <c r="BG60">
        <v>1339.72</v>
      </c>
      <c r="BH60">
        <v>0.91900000000000004</v>
      </c>
      <c r="BI60">
        <v>86241</v>
      </c>
      <c r="BJ60">
        <v>23725</v>
      </c>
      <c r="BK60">
        <v>13697</v>
      </c>
      <c r="BL60">
        <v>76.288659793814404</v>
      </c>
      <c r="BM60">
        <v>65.979381443298905</v>
      </c>
      <c r="BN60" t="s">
        <v>95</v>
      </c>
      <c r="BO60" t="s">
        <v>95</v>
      </c>
      <c r="BP60" t="s">
        <v>95</v>
      </c>
      <c r="BQ60" t="s">
        <v>95</v>
      </c>
    </row>
    <row r="61" spans="1:69" x14ac:dyDescent="0.2">
      <c r="A61" t="s">
        <v>69</v>
      </c>
      <c r="B61">
        <v>30</v>
      </c>
      <c r="C61" t="s">
        <v>93</v>
      </c>
      <c r="D61" t="s">
        <v>94</v>
      </c>
      <c r="E61">
        <v>-5.9906078170482104E+18</v>
      </c>
      <c r="F61" s="1">
        <v>20250406.2212</v>
      </c>
      <c r="G61">
        <v>189</v>
      </c>
      <c r="H61">
        <v>97</v>
      </c>
      <c r="I61">
        <v>68</v>
      </c>
      <c r="J61">
        <v>29</v>
      </c>
      <c r="K61">
        <v>0</v>
      </c>
      <c r="L61">
        <v>70.103092783505105</v>
      </c>
      <c r="M61">
        <v>29.8969072164948</v>
      </c>
      <c r="N61">
        <v>0</v>
      </c>
      <c r="O61">
        <v>0.26495949830154097</v>
      </c>
      <c r="P61">
        <v>0.313354830021082</v>
      </c>
      <c r="Q61">
        <v>0.50086285941577802</v>
      </c>
      <c r="R61">
        <v>74.794188814746093</v>
      </c>
      <c r="S61">
        <v>109.404908104142</v>
      </c>
      <c r="T61">
        <v>85.362720957561507</v>
      </c>
      <c r="U61">
        <v>171.83427015943599</v>
      </c>
      <c r="V61">
        <v>-86.471549201874694</v>
      </c>
      <c r="W61">
        <v>0.88002805110888205</v>
      </c>
      <c r="X61">
        <v>1.7714873212313</v>
      </c>
      <c r="Y61">
        <v>-0.89145927012241899</v>
      </c>
      <c r="Z61">
        <v>18.214714901643902</v>
      </c>
      <c r="AA61">
        <v>0.187780565996329</v>
      </c>
      <c r="AB61">
        <v>21.338020505109501</v>
      </c>
      <c r="AC61">
        <v>0.80882352941176405</v>
      </c>
      <c r="AD61">
        <v>55</v>
      </c>
      <c r="AE61">
        <v>0.55172413793103403</v>
      </c>
      <c r="AF61">
        <v>16</v>
      </c>
      <c r="AG61">
        <v>0.44827586206896503</v>
      </c>
      <c r="AH61">
        <v>13</v>
      </c>
      <c r="AI61">
        <v>0.191176470588235</v>
      </c>
      <c r="AJ61">
        <v>13</v>
      </c>
      <c r="AK61">
        <v>0.77464788732394296</v>
      </c>
      <c r="AL61">
        <v>0.80882352941176405</v>
      </c>
      <c r="AM61">
        <v>0.79136690647482</v>
      </c>
      <c r="AN61">
        <v>0.26572881797511899</v>
      </c>
      <c r="AO61">
        <v>0.63184584178498904</v>
      </c>
      <c r="AP61">
        <v>0.75438309414635096</v>
      </c>
      <c r="AQ61">
        <v>0.70103092783505105</v>
      </c>
      <c r="AR61">
        <v>0.44393153635432098</v>
      </c>
      <c r="AS61">
        <v>0.55606846364567797</v>
      </c>
      <c r="AT61">
        <v>0.298969072164948</v>
      </c>
      <c r="AU61">
        <v>0.69253666327864005</v>
      </c>
      <c r="AV61">
        <v>0.70103092783505105</v>
      </c>
      <c r="AW61">
        <v>0.69610351081833599</v>
      </c>
      <c r="AX61">
        <v>0.26572881797511899</v>
      </c>
      <c r="AY61">
        <v>0.63184584178498904</v>
      </c>
      <c r="AZ61">
        <v>0.67606307403042099</v>
      </c>
      <c r="BA61">
        <v>0.63204708960104605</v>
      </c>
      <c r="BB61">
        <v>0.70103092783505105</v>
      </c>
      <c r="BC61">
        <v>1.4239999999999999</v>
      </c>
      <c r="BD61">
        <v>1E-3</v>
      </c>
      <c r="BE61">
        <v>1.349343</v>
      </c>
      <c r="BF61" s="1">
        <v>8.8900000000000003E-4</v>
      </c>
      <c r="BG61">
        <v>1349.3430000000001</v>
      </c>
      <c r="BH61">
        <v>0.88900000000000001</v>
      </c>
      <c r="BI61">
        <v>86241</v>
      </c>
      <c r="BJ61">
        <v>23725</v>
      </c>
      <c r="BK61">
        <v>13697</v>
      </c>
      <c r="BL61">
        <v>84.536082474226802</v>
      </c>
      <c r="BM61">
        <v>69.072164948453604</v>
      </c>
      <c r="BN61" t="s">
        <v>95</v>
      </c>
      <c r="BO61" t="s">
        <v>95</v>
      </c>
      <c r="BP61" t="s">
        <v>95</v>
      </c>
      <c r="BQ61" t="s">
        <v>95</v>
      </c>
    </row>
  </sheetData>
  <autoFilter ref="C1:C61" xr:uid="{C1C95F28-2296-DA40-B1A9-CEBD530004C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238D8-D87A-4D45-AE5F-41796454B5CE}">
  <dimension ref="A1:J34"/>
  <sheetViews>
    <sheetView topLeftCell="A14" zoomScale="142" workbookViewId="0">
      <selection activeCell="E20" sqref="E20"/>
    </sheetView>
  </sheetViews>
  <sheetFormatPr baseColWidth="10" defaultRowHeight="16" x14ac:dyDescent="0.2"/>
  <cols>
    <col min="1" max="1" width="30.85546875" bestFit="1" customWidth="1"/>
    <col min="2" max="2" width="12" bestFit="1" customWidth="1"/>
    <col min="4" max="4" width="16.5703125" bestFit="1" customWidth="1"/>
  </cols>
  <sheetData>
    <row r="1" spans="1:3" x14ac:dyDescent="0.2">
      <c r="A1" t="s">
        <v>106</v>
      </c>
    </row>
    <row r="3" spans="1:3" x14ac:dyDescent="0.2">
      <c r="A3" s="7" t="s">
        <v>105</v>
      </c>
      <c r="B3" s="7" t="s">
        <v>118</v>
      </c>
      <c r="C3" s="7" t="s">
        <v>98</v>
      </c>
    </row>
    <row r="4" spans="1:3" x14ac:dyDescent="0.2">
      <c r="A4" s="6" t="s">
        <v>107</v>
      </c>
      <c r="B4" s="8">
        <v>71.126802954858888</v>
      </c>
      <c r="C4" s="8">
        <v>67.556652815765446</v>
      </c>
    </row>
    <row r="5" spans="1:3" x14ac:dyDescent="0.2">
      <c r="A5" s="6" t="s">
        <v>108</v>
      </c>
      <c r="B5" s="6">
        <v>11.939971461604124</v>
      </c>
      <c r="C5" s="6">
        <v>12.459966404277473</v>
      </c>
    </row>
    <row r="6" spans="1:3" x14ac:dyDescent="0.2">
      <c r="A6" s="6" t="s">
        <v>109</v>
      </c>
      <c r="B6" s="6">
        <v>30</v>
      </c>
      <c r="C6" s="6">
        <v>30</v>
      </c>
    </row>
    <row r="7" spans="1:3" x14ac:dyDescent="0.2">
      <c r="A7" s="6" t="s">
        <v>110</v>
      </c>
      <c r="B7" s="6">
        <v>0.42139534836500281</v>
      </c>
      <c r="C7" s="6"/>
    </row>
    <row r="8" spans="1:3" x14ac:dyDescent="0.2">
      <c r="A8" s="6" t="s">
        <v>111</v>
      </c>
      <c r="B8" s="6">
        <v>0</v>
      </c>
      <c r="C8" s="6"/>
    </row>
    <row r="9" spans="1:3" x14ac:dyDescent="0.2">
      <c r="A9" s="6" t="s">
        <v>112</v>
      </c>
      <c r="B9" s="6">
        <v>29</v>
      </c>
      <c r="C9" s="6"/>
    </row>
    <row r="10" spans="1:3" x14ac:dyDescent="0.2">
      <c r="A10" s="6" t="s">
        <v>113</v>
      </c>
      <c r="B10" s="9">
        <v>5.2038632194613754</v>
      </c>
      <c r="C10" s="6"/>
    </row>
    <row r="11" spans="1:3" x14ac:dyDescent="0.2">
      <c r="A11" s="6" t="s">
        <v>114</v>
      </c>
      <c r="B11" s="6">
        <v>7.1966327230759815E-6</v>
      </c>
      <c r="C11" s="6"/>
    </row>
    <row r="12" spans="1:3" x14ac:dyDescent="0.2">
      <c r="A12" s="6" t="s">
        <v>115</v>
      </c>
      <c r="B12" s="6">
        <v>1.6991270265334986</v>
      </c>
      <c r="C12" s="6"/>
    </row>
    <row r="13" spans="1:3" x14ac:dyDescent="0.2">
      <c r="A13" s="6" t="s">
        <v>116</v>
      </c>
      <c r="B13" s="8">
        <v>1.4393265446152E-5</v>
      </c>
      <c r="C13" s="6"/>
    </row>
    <row r="14" spans="1:3" x14ac:dyDescent="0.2">
      <c r="A14" s="6" t="s">
        <v>117</v>
      </c>
      <c r="B14" s="8">
        <v>2.0452296421327048</v>
      </c>
      <c r="C14" s="6"/>
    </row>
    <row r="22" spans="8:10" ht="17" thickBot="1" x14ac:dyDescent="0.25"/>
    <row r="23" spans="8:10" x14ac:dyDescent="0.2">
      <c r="H23" s="4"/>
      <c r="I23" s="4"/>
      <c r="J23" s="4"/>
    </row>
    <row r="34" spans="8:10" ht="17" thickBot="1" x14ac:dyDescent="0.25">
      <c r="H34" s="3"/>
      <c r="I34" s="3"/>
      <c r="J34" s="3"/>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E2FDE-E0B9-A247-B79C-FE826F5A89FB}">
  <dimension ref="A1"/>
  <sheetViews>
    <sheetView tabSelected="1" topLeftCell="A17" workbookViewId="0">
      <selection activeCell="P7" sqref="P7"/>
    </sheetView>
  </sheetViews>
  <sheetFormatPr baseColWidth="10" defaultRowHeight="16"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A2263-6A77-EA43-8F1D-06065FEF8700}">
  <dimension ref="A1:D31"/>
  <sheetViews>
    <sheetView workbookViewId="0">
      <selection activeCell="D2" sqref="D2:D31"/>
    </sheetView>
  </sheetViews>
  <sheetFormatPr baseColWidth="10" defaultRowHeight="16" x14ac:dyDescent="0.2"/>
  <cols>
    <col min="4" max="4" width="11.85546875" customWidth="1"/>
  </cols>
  <sheetData>
    <row r="1" spans="1:4" x14ac:dyDescent="0.2">
      <c r="A1" t="s">
        <v>96</v>
      </c>
      <c r="B1" t="s">
        <v>97</v>
      </c>
      <c r="C1" t="s">
        <v>98</v>
      </c>
      <c r="D1" t="s">
        <v>99</v>
      </c>
    </row>
    <row r="2" spans="1:4" x14ac:dyDescent="0.2">
      <c r="A2">
        <v>1</v>
      </c>
      <c r="B2">
        <f>breast_cancer_experiment_result!L2</f>
        <v>73.9583333333333</v>
      </c>
      <c r="C2">
        <f>breast_cancer_experiment_result!L32</f>
        <v>72.9166666666666</v>
      </c>
      <c r="D2">
        <f>B2-C2</f>
        <v>1.0416666666666998</v>
      </c>
    </row>
    <row r="3" spans="1:4" x14ac:dyDescent="0.2">
      <c r="A3">
        <v>2</v>
      </c>
      <c r="B3">
        <f>breast_cancer_experiment_result!L3</f>
        <v>63.265306122448898</v>
      </c>
      <c r="C3">
        <f>breast_cancer_experiment_result!L33</f>
        <v>67.346938775510196</v>
      </c>
      <c r="D3">
        <f t="shared" ref="D3:D31" si="0">B3-C3</f>
        <v>-4.0816326530612983</v>
      </c>
    </row>
    <row r="4" spans="1:4" x14ac:dyDescent="0.2">
      <c r="A4">
        <v>3</v>
      </c>
      <c r="B4">
        <f>breast_cancer_experiment_result!L4</f>
        <v>71.875</v>
      </c>
      <c r="C4">
        <f>breast_cancer_experiment_result!L34</f>
        <v>67.7083333333333</v>
      </c>
      <c r="D4">
        <f t="shared" si="0"/>
        <v>4.1666666666666998</v>
      </c>
    </row>
    <row r="5" spans="1:4" x14ac:dyDescent="0.2">
      <c r="A5">
        <v>4</v>
      </c>
      <c r="B5">
        <f>breast_cancer_experiment_result!L5</f>
        <v>72.164948453608204</v>
      </c>
      <c r="C5">
        <f>breast_cancer_experiment_result!L35</f>
        <v>68.041237113402005</v>
      </c>
      <c r="D5">
        <f t="shared" si="0"/>
        <v>4.1237113402061993</v>
      </c>
    </row>
    <row r="6" spans="1:4" x14ac:dyDescent="0.2">
      <c r="A6">
        <v>5</v>
      </c>
      <c r="B6">
        <f>breast_cancer_experiment_result!L6</f>
        <v>72.164948453608204</v>
      </c>
      <c r="C6">
        <f>breast_cancer_experiment_result!L36</f>
        <v>67.010309278350505</v>
      </c>
      <c r="D6">
        <f t="shared" si="0"/>
        <v>5.1546391752576994</v>
      </c>
    </row>
    <row r="7" spans="1:4" x14ac:dyDescent="0.2">
      <c r="A7">
        <v>6</v>
      </c>
      <c r="B7">
        <f>breast_cancer_experiment_result!L7</f>
        <v>76.288659793814404</v>
      </c>
      <c r="C7">
        <f>breast_cancer_experiment_result!L37</f>
        <v>67.010309278350505</v>
      </c>
      <c r="D7">
        <f t="shared" si="0"/>
        <v>9.2783505154638988</v>
      </c>
    </row>
    <row r="8" spans="1:4" x14ac:dyDescent="0.2">
      <c r="A8">
        <v>7</v>
      </c>
      <c r="B8">
        <f>breast_cancer_experiment_result!L8</f>
        <v>73.469387755102005</v>
      </c>
      <c r="C8">
        <f>breast_cancer_experiment_result!L38</f>
        <v>63.265306122448898</v>
      </c>
      <c r="D8">
        <f t="shared" si="0"/>
        <v>10.204081632653107</v>
      </c>
    </row>
    <row r="9" spans="1:4" x14ac:dyDescent="0.2">
      <c r="A9">
        <v>8</v>
      </c>
      <c r="B9">
        <f>breast_cancer_experiment_result!L9</f>
        <v>70.408163265306101</v>
      </c>
      <c r="C9">
        <f>breast_cancer_experiment_result!L39</f>
        <v>68.367346938775498</v>
      </c>
      <c r="D9">
        <f t="shared" si="0"/>
        <v>2.040816326530603</v>
      </c>
    </row>
    <row r="10" spans="1:4" x14ac:dyDescent="0.2">
      <c r="A10">
        <v>9</v>
      </c>
      <c r="B10">
        <f>breast_cancer_experiment_result!L10</f>
        <v>73.195876288659704</v>
      </c>
      <c r="C10">
        <f>breast_cancer_experiment_result!L40</f>
        <v>69.072164948453604</v>
      </c>
      <c r="D10">
        <f t="shared" si="0"/>
        <v>4.1237113402060999</v>
      </c>
    </row>
    <row r="11" spans="1:4" x14ac:dyDescent="0.2">
      <c r="A11">
        <v>10</v>
      </c>
      <c r="B11">
        <f>breast_cancer_experiment_result!L11</f>
        <v>73.469387755102005</v>
      </c>
      <c r="C11">
        <f>breast_cancer_experiment_result!L41</f>
        <v>66.326530612244895</v>
      </c>
      <c r="D11">
        <f t="shared" si="0"/>
        <v>7.1428571428571104</v>
      </c>
    </row>
    <row r="12" spans="1:4" x14ac:dyDescent="0.2">
      <c r="A12">
        <v>11</v>
      </c>
      <c r="B12">
        <f>breast_cancer_experiment_result!L12</f>
        <v>69.072164948453604</v>
      </c>
      <c r="C12">
        <f>breast_cancer_experiment_result!L42</f>
        <v>65.979381443298905</v>
      </c>
      <c r="D12">
        <f t="shared" si="0"/>
        <v>3.0927835051546992</v>
      </c>
    </row>
    <row r="13" spans="1:4" x14ac:dyDescent="0.2">
      <c r="A13">
        <v>12</v>
      </c>
      <c r="B13">
        <f>breast_cancer_experiment_result!L13</f>
        <v>75.257731958762804</v>
      </c>
      <c r="C13">
        <f>breast_cancer_experiment_result!L43</f>
        <v>69.072164948453604</v>
      </c>
      <c r="D13">
        <f t="shared" si="0"/>
        <v>6.1855670103091995</v>
      </c>
    </row>
    <row r="14" spans="1:4" x14ac:dyDescent="0.2">
      <c r="A14">
        <v>13</v>
      </c>
      <c r="B14">
        <f>breast_cancer_experiment_result!L14</f>
        <v>67.010309278350505</v>
      </c>
      <c r="C14">
        <f>breast_cancer_experiment_result!L44</f>
        <v>63.917525773195798</v>
      </c>
      <c r="D14">
        <f t="shared" si="0"/>
        <v>3.0927835051547063</v>
      </c>
    </row>
    <row r="15" spans="1:4" x14ac:dyDescent="0.2">
      <c r="A15">
        <v>14</v>
      </c>
      <c r="B15">
        <f>breast_cancer_experiment_result!L15</f>
        <v>70.103092783505105</v>
      </c>
      <c r="C15">
        <f>breast_cancer_experiment_result!L45</f>
        <v>67.010309278350505</v>
      </c>
      <c r="D15">
        <f t="shared" si="0"/>
        <v>3.0927835051545998</v>
      </c>
    </row>
    <row r="16" spans="1:4" x14ac:dyDescent="0.2">
      <c r="A16">
        <v>15</v>
      </c>
      <c r="B16">
        <f>breast_cancer_experiment_result!L16</f>
        <v>72.448979591836704</v>
      </c>
      <c r="C16">
        <f>breast_cancer_experiment_result!L46</f>
        <v>71.428571428571402</v>
      </c>
      <c r="D16">
        <f t="shared" si="0"/>
        <v>1.0204081632653015</v>
      </c>
    </row>
    <row r="17" spans="1:4" x14ac:dyDescent="0.2">
      <c r="A17">
        <v>16</v>
      </c>
      <c r="B17">
        <f>breast_cancer_experiment_result!L17</f>
        <v>75</v>
      </c>
      <c r="C17">
        <f>breast_cancer_experiment_result!L47</f>
        <v>62.5</v>
      </c>
      <c r="D17">
        <f t="shared" si="0"/>
        <v>12.5</v>
      </c>
    </row>
    <row r="18" spans="1:4" x14ac:dyDescent="0.2">
      <c r="A18">
        <v>17</v>
      </c>
      <c r="B18">
        <f>breast_cancer_experiment_result!L18</f>
        <v>72.448979591836704</v>
      </c>
      <c r="C18">
        <f>breast_cancer_experiment_result!L48</f>
        <v>70.408163265306101</v>
      </c>
      <c r="D18">
        <f t="shared" si="0"/>
        <v>2.040816326530603</v>
      </c>
    </row>
    <row r="19" spans="1:4" x14ac:dyDescent="0.2">
      <c r="A19">
        <v>18</v>
      </c>
      <c r="B19">
        <f>breast_cancer_experiment_result!L19</f>
        <v>69.072164948453604</v>
      </c>
      <c r="C19">
        <f>breast_cancer_experiment_result!L49</f>
        <v>71.134020618556704</v>
      </c>
      <c r="D19">
        <f t="shared" si="0"/>
        <v>-2.0618556701030997</v>
      </c>
    </row>
    <row r="20" spans="1:4" x14ac:dyDescent="0.2">
      <c r="A20">
        <v>19</v>
      </c>
      <c r="B20">
        <f>breast_cancer_experiment_result!L20</f>
        <v>69.072164948453604</v>
      </c>
      <c r="C20">
        <f>breast_cancer_experiment_result!L50</f>
        <v>68.041237113402005</v>
      </c>
      <c r="D20">
        <f t="shared" si="0"/>
        <v>1.0309278350515996</v>
      </c>
    </row>
    <row r="21" spans="1:4" x14ac:dyDescent="0.2">
      <c r="A21">
        <v>20</v>
      </c>
      <c r="B21">
        <f>breast_cancer_experiment_result!L21</f>
        <v>64.948453608247405</v>
      </c>
      <c r="C21">
        <f>breast_cancer_experiment_result!L51</f>
        <v>57.731958762886599</v>
      </c>
      <c r="D21">
        <f t="shared" si="0"/>
        <v>7.2164948453608062</v>
      </c>
    </row>
    <row r="22" spans="1:4" x14ac:dyDescent="0.2">
      <c r="A22">
        <v>21</v>
      </c>
      <c r="B22">
        <f>breast_cancer_experiment_result!L22</f>
        <v>70.103092783505105</v>
      </c>
      <c r="C22">
        <f>breast_cancer_experiment_result!L52</f>
        <v>69.072164948453604</v>
      </c>
      <c r="D22">
        <f t="shared" si="0"/>
        <v>1.0309278350515001</v>
      </c>
    </row>
    <row r="23" spans="1:4" x14ac:dyDescent="0.2">
      <c r="A23">
        <v>22</v>
      </c>
      <c r="B23">
        <f>breast_cancer_experiment_result!L23</f>
        <v>74.226804123711304</v>
      </c>
      <c r="C23">
        <f>breast_cancer_experiment_result!L53</f>
        <v>72.164948453608204</v>
      </c>
      <c r="D23">
        <f t="shared" si="0"/>
        <v>2.0618556701030997</v>
      </c>
    </row>
    <row r="24" spans="1:4" x14ac:dyDescent="0.2">
      <c r="A24">
        <v>23</v>
      </c>
      <c r="B24">
        <f>breast_cancer_experiment_result!L24</f>
        <v>68.367346938775498</v>
      </c>
      <c r="C24">
        <f>breast_cancer_experiment_result!L54</f>
        <v>63.265306122448898</v>
      </c>
      <c r="D24">
        <f t="shared" si="0"/>
        <v>5.1020408163265998</v>
      </c>
    </row>
    <row r="25" spans="1:4" x14ac:dyDescent="0.2">
      <c r="A25">
        <v>24</v>
      </c>
      <c r="B25">
        <f>breast_cancer_experiment_result!L25</f>
        <v>73.195876288659704</v>
      </c>
      <c r="C25">
        <f>breast_cancer_experiment_result!L55</f>
        <v>69.072164948453604</v>
      </c>
      <c r="D25">
        <f t="shared" si="0"/>
        <v>4.1237113402060999</v>
      </c>
    </row>
    <row r="26" spans="1:4" x14ac:dyDescent="0.2">
      <c r="A26">
        <v>25</v>
      </c>
      <c r="B26">
        <f>breast_cancer_experiment_result!L26</f>
        <v>77.551020408163197</v>
      </c>
      <c r="C26">
        <f>breast_cancer_experiment_result!L56</f>
        <v>75.510204081632594</v>
      </c>
      <c r="D26">
        <f t="shared" si="0"/>
        <v>2.040816326530603</v>
      </c>
    </row>
    <row r="27" spans="1:4" x14ac:dyDescent="0.2">
      <c r="A27">
        <v>26</v>
      </c>
      <c r="B27">
        <f>breast_cancer_experiment_result!L27</f>
        <v>70.408163265306101</v>
      </c>
      <c r="C27">
        <f>breast_cancer_experiment_result!L57</f>
        <v>67.346938775510196</v>
      </c>
      <c r="D27">
        <f t="shared" si="0"/>
        <v>3.0612244897959044</v>
      </c>
    </row>
    <row r="28" spans="1:4" x14ac:dyDescent="0.2">
      <c r="A28">
        <v>27</v>
      </c>
      <c r="B28">
        <f>breast_cancer_experiment_result!L28</f>
        <v>68.041237113402005</v>
      </c>
      <c r="C28">
        <f>breast_cancer_experiment_result!L58</f>
        <v>63.917525773195798</v>
      </c>
      <c r="D28">
        <f t="shared" si="0"/>
        <v>4.1237113402062064</v>
      </c>
    </row>
    <row r="29" spans="1:4" x14ac:dyDescent="0.2">
      <c r="A29">
        <v>28</v>
      </c>
      <c r="B29">
        <f>breast_cancer_experiment_result!L29</f>
        <v>74.226804123711304</v>
      </c>
      <c r="C29">
        <f>breast_cancer_experiment_result!L59</f>
        <v>65.979381443298905</v>
      </c>
      <c r="D29">
        <f t="shared" si="0"/>
        <v>8.2474226804123987</v>
      </c>
    </row>
    <row r="30" spans="1:4" x14ac:dyDescent="0.2">
      <c r="A30">
        <v>29</v>
      </c>
      <c r="B30">
        <f>breast_cancer_experiment_result!L30</f>
        <v>67.010309278350505</v>
      </c>
      <c r="C30">
        <f>breast_cancer_experiment_result!L60</f>
        <v>65.979381443298905</v>
      </c>
      <c r="D30">
        <f t="shared" si="0"/>
        <v>1.0309278350515996</v>
      </c>
    </row>
    <row r="31" spans="1:4" x14ac:dyDescent="0.2">
      <c r="A31">
        <v>30</v>
      </c>
      <c r="B31">
        <f>breast_cancer_experiment_result!L31</f>
        <v>65.979381443298905</v>
      </c>
      <c r="C31">
        <f>breast_cancer_experiment_result!L61</f>
        <v>70.103092783505105</v>
      </c>
      <c r="D31">
        <f t="shared" si="0"/>
        <v>-4.1237113402061993</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81110-28BE-984D-9D3E-E61000D4448A}">
  <dimension ref="A1:C3"/>
  <sheetViews>
    <sheetView workbookViewId="0">
      <selection activeCell="E8" sqref="E8"/>
    </sheetView>
  </sheetViews>
  <sheetFormatPr baseColWidth="10" defaultRowHeight="16" x14ac:dyDescent="0.2"/>
  <cols>
    <col min="1" max="1" width="25.5703125" bestFit="1" customWidth="1"/>
    <col min="2" max="2" width="16.85546875" style="2" bestFit="1" customWidth="1"/>
    <col min="3" max="3" width="21.42578125" style="2" customWidth="1"/>
  </cols>
  <sheetData>
    <row r="1" spans="1:3" x14ac:dyDescent="0.2">
      <c r="A1" t="s">
        <v>100</v>
      </c>
      <c r="B1" s="2" t="s">
        <v>101</v>
      </c>
      <c r="C1" s="2" t="s">
        <v>104</v>
      </c>
    </row>
    <row r="2" spans="1:3" x14ac:dyDescent="0.2">
      <c r="A2" t="s">
        <v>102</v>
      </c>
      <c r="B2" s="2">
        <f>AVERAGE('Accuracy Analysis'!B2:B31)</f>
        <v>71.126802954858888</v>
      </c>
      <c r="C2" s="2">
        <f>_xlfn.STDEV.S('Accuracy Analysis'!B2:B31)</f>
        <v>3.4554263791324109</v>
      </c>
    </row>
    <row r="3" spans="1:3" x14ac:dyDescent="0.2">
      <c r="A3" t="s">
        <v>103</v>
      </c>
      <c r="B3" s="2">
        <f>AVERAGE('Accuracy Analysis'!C2:C31)</f>
        <v>67.556652815765446</v>
      </c>
      <c r="C3" s="2">
        <f>_xlfn.STDEV.S('Accuracy Analysis'!C2:C31)</f>
        <v>3.5298677601685693</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ACE82-4F34-1845-8C67-EC285AEADA7F}">
  <dimension ref="A1:J82"/>
  <sheetViews>
    <sheetView workbookViewId="0">
      <selection activeCell="D15" sqref="D15"/>
    </sheetView>
  </sheetViews>
  <sheetFormatPr baseColWidth="10" defaultRowHeight="16" x14ac:dyDescent="0.2"/>
  <sheetData>
    <row r="1" spans="1:4" x14ac:dyDescent="0.2">
      <c r="A1" t="s">
        <v>119</v>
      </c>
      <c r="B1" t="s">
        <v>120</v>
      </c>
    </row>
    <row r="2" spans="1:4" x14ac:dyDescent="0.2">
      <c r="A2">
        <v>-4</v>
      </c>
      <c r="B2">
        <f>_xlfn.T.DIST(A2, 'T-Test'!B9, FALSE)</f>
        <v>5.4318672875065322E-4</v>
      </c>
    </row>
    <row r="3" spans="1:4" x14ac:dyDescent="0.2">
      <c r="A3">
        <f>A2 +0.1</f>
        <v>-3.9</v>
      </c>
      <c r="B3">
        <f>_xlfn.T.DIST(A3, 'T-Test'!B9, FALSE)</f>
        <v>7.0848251031951166E-4</v>
      </c>
    </row>
    <row r="4" spans="1:4" x14ac:dyDescent="0.2">
      <c r="A4">
        <f t="shared" ref="A4:A67" si="0">A3 +0.1</f>
        <v>-3.8</v>
      </c>
      <c r="B4">
        <f>_xlfn.T.DIST(A4, 'T-Test'!B9, FALSE)</f>
        <v>9.2212460099971286E-4</v>
      </c>
    </row>
    <row r="5" spans="1:4" x14ac:dyDescent="0.2">
      <c r="A5">
        <f t="shared" si="0"/>
        <v>-3.6999999999999997</v>
      </c>
      <c r="B5">
        <f>_xlfn.T.DIST(A5, 'T-Test'!B9, FALSE)</f>
        <v>1.1974145614947996E-3</v>
      </c>
    </row>
    <row r="6" spans="1:4" x14ac:dyDescent="0.2">
      <c r="A6">
        <f t="shared" si="0"/>
        <v>-3.5999999999999996</v>
      </c>
      <c r="B6">
        <f>_xlfn.T.DIST(A6, 'T-Test'!B9, FALSE)</f>
        <v>1.5509745247163558E-3</v>
      </c>
    </row>
    <row r="7" spans="1:4" x14ac:dyDescent="0.2">
      <c r="A7">
        <f t="shared" si="0"/>
        <v>-3.4999999999999996</v>
      </c>
      <c r="B7">
        <f>_xlfn.T.DIST(A7,'T-Test'!B9, FALSE)</f>
        <v>2.0034456439922315E-3</v>
      </c>
      <c r="D7" t="s">
        <v>121</v>
      </c>
    </row>
    <row r="8" spans="1:4" x14ac:dyDescent="0.2">
      <c r="A8">
        <f t="shared" si="0"/>
        <v>-3.3999999999999995</v>
      </c>
      <c r="B8">
        <f>_xlfn.T.DIST(A8, 'T-Test'!B9, FALSE)</f>
        <v>2.580284908962407E-3</v>
      </c>
      <c r="D8">
        <f>_xlfn.T.INV(0.975, 29)</f>
        <v>2.0452296421327034</v>
      </c>
    </row>
    <row r="9" spans="1:4" x14ac:dyDescent="0.2">
      <c r="A9">
        <f t="shared" si="0"/>
        <v>-3.2999999999999994</v>
      </c>
      <c r="B9">
        <f>_xlfn.T.DIST(A9, 'T-Test'!B9, FALSE)</f>
        <v>3.3126557966298262E-3</v>
      </c>
    </row>
    <row r="10" spans="1:4" x14ac:dyDescent="0.2">
      <c r="A10">
        <f t="shared" si="0"/>
        <v>-3.1999999999999993</v>
      </c>
      <c r="B10">
        <f>_xlfn.T.DIST(A10, 'T-Test'!B9, FALSE)</f>
        <v>4.2383993723684732E-3</v>
      </c>
    </row>
    <row r="11" spans="1:4" x14ac:dyDescent="0.2">
      <c r="A11">
        <f t="shared" si="0"/>
        <v>-3.0999999999999992</v>
      </c>
      <c r="B11">
        <f>_xlfn.T.DIST(A11,'T-Test'!B9, FALSE)</f>
        <v>5.4030605296445187E-3</v>
      </c>
    </row>
    <row r="12" spans="1:4" x14ac:dyDescent="0.2">
      <c r="A12">
        <f t="shared" si="0"/>
        <v>-2.9999999999999991</v>
      </c>
      <c r="B12">
        <f>_xlfn.T.DIST(A12, 'T-Test'!B9, FALSE)</f>
        <v>6.8609287304041587E-3</v>
      </c>
    </row>
    <row r="13" spans="1:4" x14ac:dyDescent="0.2">
      <c r="A13">
        <f t="shared" si="0"/>
        <v>-2.899999999999999</v>
      </c>
      <c r="B13">
        <f>_xlfn.T.DIST(A13, 'T-Test'!B9, FALSE)</f>
        <v>8.6760337804661688E-3</v>
      </c>
    </row>
    <row r="14" spans="1:4" x14ac:dyDescent="0.2">
      <c r="A14">
        <f t="shared" si="0"/>
        <v>-2.7999999999999989</v>
      </c>
      <c r="B14">
        <f>_xlfn.T.DIST(A14, 'T-Test'!B9, FALSE)</f>
        <v>1.0923015109172781E-2</v>
      </c>
    </row>
    <row r="15" spans="1:4" x14ac:dyDescent="0.2">
      <c r="A15">
        <f t="shared" si="0"/>
        <v>-2.6999999999999988</v>
      </c>
      <c r="B15">
        <f>_xlfn.T.DIST(A15, 'T-Test'!B9, FALSE)</f>
        <v>1.3687758504011766E-2</v>
      </c>
    </row>
    <row r="16" spans="1:4" x14ac:dyDescent="0.2">
      <c r="A16">
        <f t="shared" si="0"/>
        <v>-2.5999999999999988</v>
      </c>
      <c r="B16">
        <f>_xlfn.T.DIST(A16, 'T-Test'!B9, FALSE)</f>
        <v>1.7067668747563589E-2</v>
      </c>
    </row>
    <row r="17" spans="1:10" x14ac:dyDescent="0.2">
      <c r="A17">
        <f t="shared" si="0"/>
        <v>-2.4999999999999987</v>
      </c>
      <c r="B17">
        <f>_xlfn.T.DIST(A17, 'T-Test'!B9, FALSE)</f>
        <v>2.1171422415414694E-2</v>
      </c>
    </row>
    <row r="18" spans="1:10" x14ac:dyDescent="0.2">
      <c r="A18">
        <f t="shared" si="0"/>
        <v>-2.3999999999999986</v>
      </c>
      <c r="B18">
        <f>_xlfn.T.DIST(A18, 'T-Test'!B9, FALSE)</f>
        <v>2.6118025442988111E-2</v>
      </c>
    </row>
    <row r="19" spans="1:10" x14ac:dyDescent="0.2">
      <c r="A19">
        <f>A18 +0.1</f>
        <v>-2.2999999999999985</v>
      </c>
      <c r="B19">
        <f>_xlfn.T.DIST(A19, 'T-Test'!B9, FALSE)</f>
        <v>3.2034989098410974E-2</v>
      </c>
    </row>
    <row r="20" spans="1:10" x14ac:dyDescent="0.2">
      <c r="A20">
        <f t="shared" si="0"/>
        <v>-2.1999999999999984</v>
      </c>
      <c r="B20">
        <f>_xlfn.T.DIST(A20, 'T-Test'!B9, FALSE)</f>
        <v>3.90554406123374E-2</v>
      </c>
    </row>
    <row r="21" spans="1:10" x14ac:dyDescent="0.2">
      <c r="A21">
        <f t="shared" si="0"/>
        <v>-2.0999999999999983</v>
      </c>
      <c r="B21">
        <f>_xlfn.T.DIST(A21, 'T-Test'!B9, FALSE)</f>
        <v>4.7314006226083609E-2</v>
      </c>
    </row>
    <row r="22" spans="1:10" x14ac:dyDescent="0.2">
      <c r="A22">
        <f t="shared" si="0"/>
        <v>-1.9999999999999982</v>
      </c>
      <c r="B22">
        <f>_xlfn.T.DIST(A22, 'T-Test'!B9, FALSE)</f>
        <v>5.6941349953155959E-2</v>
      </c>
    </row>
    <row r="23" spans="1:10" x14ac:dyDescent="0.2">
      <c r="A23">
        <f t="shared" si="0"/>
        <v>-1.8999999999999981</v>
      </c>
      <c r="B23">
        <f>_xlfn.T.DIST(A23, 'T-Test'!B9, FALSE)</f>
        <v>6.8057325010060593E-2</v>
      </c>
    </row>
    <row r="24" spans="1:10" x14ac:dyDescent="0.2">
      <c r="A24">
        <f t="shared" si="0"/>
        <v>-1.799999999999998</v>
      </c>
      <c r="B24">
        <f>_xlfn.T.DIST(A24, 'T-Test'!B9, FALSE)</f>
        <v>8.0762798696637703E-2</v>
      </c>
    </row>
    <row r="25" spans="1:10" x14ac:dyDescent="0.2">
      <c r="A25">
        <f t="shared" si="0"/>
        <v>-1.699999999999998</v>
      </c>
      <c r="B25">
        <f>_xlfn.T.DIST(A25, 'T-Test'!B9, FALSE)</f>
        <v>9.5130344310630111E-2</v>
      </c>
      <c r="F25" t="s">
        <v>122</v>
      </c>
      <c r="G25" t="s">
        <v>123</v>
      </c>
    </row>
    <row r="26" spans="1:10" x14ac:dyDescent="0.2">
      <c r="A26">
        <f t="shared" si="0"/>
        <v>-1.5999999999999979</v>
      </c>
      <c r="B26">
        <f>_xlfn.T.DIST(A26, 'T-Test'!B9, FALSE)</f>
        <v>0.11119414996962615</v>
      </c>
      <c r="F26">
        <v>5.2</v>
      </c>
      <c r="G26">
        <v>0</v>
      </c>
      <c r="I26">
        <v>2.04</v>
      </c>
      <c r="J26">
        <v>0</v>
      </c>
    </row>
    <row r="27" spans="1:10" x14ac:dyDescent="0.2">
      <c r="A27">
        <f t="shared" si="0"/>
        <v>-1.4999999999999978</v>
      </c>
      <c r="B27">
        <f>_xlfn.T.DIST(A27,'T-Test'!B9, FALSE)</f>
        <v>0.1289396633757858</v>
      </c>
      <c r="F27">
        <v>5.2</v>
      </c>
      <c r="G27">
        <v>0.4</v>
      </c>
      <c r="I27">
        <v>2.04</v>
      </c>
      <c r="J27">
        <v>0.4</v>
      </c>
    </row>
    <row r="28" spans="1:10" x14ac:dyDescent="0.2">
      <c r="A28">
        <f t="shared" si="0"/>
        <v>-1.3999999999999977</v>
      </c>
      <c r="B28">
        <f>_xlfn.T.DIST(A28,'T-Test'!B9, FALSE)</f>
        <v>0.1482936576329405</v>
      </c>
      <c r="D28" s="5"/>
    </row>
    <row r="29" spans="1:10" x14ac:dyDescent="0.2">
      <c r="A29">
        <f t="shared" si="0"/>
        <v>-1.2999999999999976</v>
      </c>
      <c r="B29">
        <f>_xlfn.T.DIST(A29, 'T-Test'!B9, FALSE)</f>
        <v>0.16911554549102165</v>
      </c>
      <c r="F29">
        <v>-5.2</v>
      </c>
      <c r="G29">
        <v>0</v>
      </c>
      <c r="I29">
        <v>-2.04</v>
      </c>
      <c r="J29">
        <v>0</v>
      </c>
    </row>
    <row r="30" spans="1:10" x14ac:dyDescent="0.2">
      <c r="A30">
        <f t="shared" si="0"/>
        <v>-1.1999999999999975</v>
      </c>
      <c r="B30">
        <f>_xlfn.T.DIST(A30, 'T-Test'!B9, FALSE)</f>
        <v>0.19119086399230026</v>
      </c>
      <c r="F30">
        <v>-5.2</v>
      </c>
      <c r="G30">
        <v>0.4</v>
      </c>
      <c r="I30">
        <v>-2.04</v>
      </c>
      <c r="J30">
        <v>0.4</v>
      </c>
    </row>
    <row r="31" spans="1:10" x14ac:dyDescent="0.2">
      <c r="A31">
        <f t="shared" si="0"/>
        <v>-1.0999999999999974</v>
      </c>
      <c r="B31">
        <f>_xlfn.T.DIST(A31, 'T-Test'!B9, FALSE)</f>
        <v>0.21422787414264685</v>
      </c>
    </row>
    <row r="32" spans="1:10" x14ac:dyDescent="0.2">
      <c r="A32">
        <f t="shared" si="0"/>
        <v>-0.99999999999999745</v>
      </c>
      <c r="B32">
        <f>_xlfn.T.DIST(A32, 'T-Test'!B9, FALSE)</f>
        <v>0.23785814985587653</v>
      </c>
    </row>
    <row r="33" spans="1:2" x14ac:dyDescent="0.2">
      <c r="A33">
        <f>A32 +0.1</f>
        <v>-0.89999999999999747</v>
      </c>
      <c r="B33">
        <f>_xlfn.T.DIST(A33, 'T-Test'!B9, FALSE)</f>
        <v>0.2616418533251828</v>
      </c>
    </row>
    <row r="34" spans="1:2" x14ac:dyDescent="0.2">
      <c r="A34">
        <f t="shared" si="0"/>
        <v>-0.79999999999999749</v>
      </c>
      <c r="B34">
        <f>_xlfn.T.DIST(A34, 'T-Test'!B9, FALSE)</f>
        <v>0.28507810789010768</v>
      </c>
    </row>
    <row r="35" spans="1:2" x14ac:dyDescent="0.2">
      <c r="A35">
        <f t="shared" si="0"/>
        <v>-0.69999999999999751</v>
      </c>
      <c r="B35">
        <f>_xlfn.T.DIST(A35, 'T-Test'!B9, FALSE)</f>
        <v>0.30762049664657592</v>
      </c>
    </row>
    <row r="36" spans="1:2" x14ac:dyDescent="0.2">
      <c r="A36">
        <f t="shared" si="0"/>
        <v>-0.59999999999999754</v>
      </c>
      <c r="B36">
        <f>_xlfn.T.DIST(A36, 'T-Test'!B9, FALSE)</f>
        <v>0.32869726359901441</v>
      </c>
    </row>
    <row r="37" spans="1:2" x14ac:dyDescent="0.2">
      <c r="A37">
        <f t="shared" si="0"/>
        <v>-0.49999999999999756</v>
      </c>
      <c r="B37">
        <f>_xlfn.T.DIST(A37, 'T-Test'!B9, FALSE)</f>
        <v>0.34773531689290954</v>
      </c>
    </row>
    <row r="38" spans="1:2" x14ac:dyDescent="0.2">
      <c r="A38">
        <f t="shared" si="0"/>
        <v>-0.39999999999999758</v>
      </c>
      <c r="B38">
        <f>_xlfn.T.DIST(A38, 'T-Test'!B9, FALSE)</f>
        <v>0.36418668418476957</v>
      </c>
    </row>
    <row r="39" spans="1:2" x14ac:dyDescent="0.2">
      <c r="A39">
        <f t="shared" si="0"/>
        <v>-0.2999999999999976</v>
      </c>
      <c r="B39">
        <f>_xlfn.T.DIST(A39, 'T-Test'!B9, FALSE)</f>
        <v>0.3775557063545199</v>
      </c>
    </row>
    <row r="40" spans="1:2" x14ac:dyDescent="0.2">
      <c r="A40">
        <f t="shared" si="0"/>
        <v>-0.1999999999999976</v>
      </c>
      <c r="B40">
        <f>_xlfn.T.DIST(A40, 'T-Test'!B9, FALSE)</f>
        <v>0.38742503133825879</v>
      </c>
    </row>
    <row r="41" spans="1:2" x14ac:dyDescent="0.2">
      <c r="A41">
        <f t="shared" si="0"/>
        <v>-9.9999999999997591E-2</v>
      </c>
      <c r="B41">
        <f>_xlfn.T.DIST(A41, 'T-Test'!B9, FALSE)</f>
        <v>0.39347842579459452</v>
      </c>
    </row>
    <row r="42" spans="1:2" x14ac:dyDescent="0.2">
      <c r="A42">
        <f>A41 +0.1</f>
        <v>2.4147350785597155E-15</v>
      </c>
      <c r="B42">
        <f>_xlfn.T.DIST(A42, 'T-Test'!B9, FALSE)</f>
        <v>0.39551857901172804</v>
      </c>
    </row>
    <row r="43" spans="1:2" x14ac:dyDescent="0.2">
      <c r="A43">
        <f t="shared" si="0"/>
        <v>0.10000000000000242</v>
      </c>
      <c r="B43">
        <f>_xlfn.T.DIST(A43, 'T-Test'!B9, FALSE)</f>
        <v>0.39347842579459419</v>
      </c>
    </row>
    <row r="44" spans="1:2" x14ac:dyDescent="0.2">
      <c r="A44">
        <f t="shared" si="0"/>
        <v>0.20000000000000243</v>
      </c>
      <c r="B44">
        <f>_xlfn.T.DIST(A44, 'T-Test'!B9, FALSE)</f>
        <v>0.38742503133825845</v>
      </c>
    </row>
    <row r="45" spans="1:2" x14ac:dyDescent="0.2">
      <c r="A45">
        <f t="shared" si="0"/>
        <v>0.30000000000000243</v>
      </c>
      <c r="B45">
        <f>_xlfn.T.DIST(A45,'T-Test'!B9, FALSE)</f>
        <v>0.37755570635451935</v>
      </c>
    </row>
    <row r="46" spans="1:2" x14ac:dyDescent="0.2">
      <c r="A46">
        <f t="shared" si="0"/>
        <v>0.40000000000000246</v>
      </c>
      <c r="B46">
        <f>_xlfn.T.DIST(A46, 'T-Test'!B9, FALSE)</f>
        <v>0.36418668418476885</v>
      </c>
    </row>
    <row r="47" spans="1:2" x14ac:dyDescent="0.2">
      <c r="A47">
        <f t="shared" si="0"/>
        <v>0.50000000000000244</v>
      </c>
      <c r="B47">
        <f>_xlfn.T.DIST(A47, 'T-Test'!B9, FALSE)</f>
        <v>0.3477353168929086</v>
      </c>
    </row>
    <row r="48" spans="1:2" x14ac:dyDescent="0.2">
      <c r="A48">
        <f t="shared" si="0"/>
        <v>0.60000000000000242</v>
      </c>
      <c r="B48">
        <f>_xlfn.T.DIST(A48,'T-Test'!B9, FALSE)</f>
        <v>0.32869726359901347</v>
      </c>
    </row>
    <row r="49" spans="1:2" x14ac:dyDescent="0.2">
      <c r="A49">
        <f t="shared" si="0"/>
        <v>0.7000000000000024</v>
      </c>
      <c r="B49">
        <f>_xlfn.T.DIST(A49, 'T-Test'!B9, FALSE)</f>
        <v>0.30762049664657481</v>
      </c>
    </row>
    <row r="50" spans="1:2" x14ac:dyDescent="0.2">
      <c r="A50">
        <f t="shared" si="0"/>
        <v>0.80000000000000238</v>
      </c>
      <c r="B50">
        <f>_xlfn.T.DIST(A50, 'T-Test'!B9, FALSE)</f>
        <v>0.28507810789010657</v>
      </c>
    </row>
    <row r="51" spans="1:2" x14ac:dyDescent="0.2">
      <c r="A51">
        <f t="shared" si="0"/>
        <v>0.90000000000000235</v>
      </c>
      <c r="B51">
        <f>_xlfn.T.DIST(A51, 'T-Test'!B9, FALSE)</f>
        <v>0.26164185332518164</v>
      </c>
    </row>
    <row r="52" spans="1:2" x14ac:dyDescent="0.2">
      <c r="A52">
        <f t="shared" si="0"/>
        <v>1.0000000000000024</v>
      </c>
      <c r="B52">
        <f>_xlfn.T.DIST(A52, 'T-Test'!B9, FALSE)</f>
        <v>0.23785814985587539</v>
      </c>
    </row>
    <row r="53" spans="1:2" x14ac:dyDescent="0.2">
      <c r="A53">
        <f t="shared" si="0"/>
        <v>1.1000000000000025</v>
      </c>
      <c r="B53">
        <f>_xlfn.T.DIST(A53,'T-Test'!B9, FALSE)</f>
        <v>0.21422787414264569</v>
      </c>
    </row>
    <row r="54" spans="1:2" x14ac:dyDescent="0.2">
      <c r="A54">
        <f t="shared" si="0"/>
        <v>1.2000000000000026</v>
      </c>
      <c r="B54">
        <f>_xlfn.T.DIST(A54, 'T-Test'!B9, FALSE)</f>
        <v>0.19119086399229904</v>
      </c>
    </row>
    <row r="55" spans="1:2" x14ac:dyDescent="0.2">
      <c r="A55">
        <f t="shared" si="0"/>
        <v>1.3000000000000027</v>
      </c>
      <c r="B55">
        <f>_xlfn.T.DIST(A55, 'T-Test'!B9, FALSE)</f>
        <v>0.16911554549102054</v>
      </c>
    </row>
    <row r="56" spans="1:2" x14ac:dyDescent="0.2">
      <c r="A56">
        <f t="shared" si="0"/>
        <v>1.4000000000000028</v>
      </c>
      <c r="B56">
        <f>_xlfn.T.DIST(A56, 'T-Test'!B9, FALSE)</f>
        <v>0.1482936576329395</v>
      </c>
    </row>
    <row r="57" spans="1:2" x14ac:dyDescent="0.2">
      <c r="A57">
        <f t="shared" si="0"/>
        <v>1.5000000000000029</v>
      </c>
      <c r="B57">
        <f>_xlfn.T.DIST(A57, 'T-Test'!B9, FALSE)</f>
        <v>0.12893966337578483</v>
      </c>
    </row>
    <row r="58" spans="1:2" x14ac:dyDescent="0.2">
      <c r="A58">
        <f>A57 +0.1</f>
        <v>1.600000000000003</v>
      </c>
      <c r="B58">
        <f>_xlfn.T.DIST(A58, 'T-Test'!B9, FALSE)</f>
        <v>0.11119414996962532</v>
      </c>
    </row>
    <row r="59" spans="1:2" x14ac:dyDescent="0.2">
      <c r="A59">
        <f t="shared" si="0"/>
        <v>1.7000000000000031</v>
      </c>
      <c r="B59">
        <f>_xlfn.T.DIST(A59, 'T-Test'!B9, FALSE)</f>
        <v>9.513034431062932E-2</v>
      </c>
    </row>
    <row r="60" spans="1:2" x14ac:dyDescent="0.2">
      <c r="A60">
        <f t="shared" si="0"/>
        <v>1.8000000000000032</v>
      </c>
      <c r="B60">
        <f>_xlfn.T.DIST(A60, 'T-Test'!B9, FALSE)</f>
        <v>8.0762798696637023E-2</v>
      </c>
    </row>
    <row r="61" spans="1:2" x14ac:dyDescent="0.2">
      <c r="A61">
        <f t="shared" si="0"/>
        <v>1.9000000000000032</v>
      </c>
      <c r="B61">
        <f>_xlfn.T.DIST(A61, 'T-Test'!B9, FALSE)</f>
        <v>6.8057325010059982E-2</v>
      </c>
    </row>
    <row r="62" spans="1:2" x14ac:dyDescent="0.2">
      <c r="A62">
        <f t="shared" si="0"/>
        <v>2.0000000000000031</v>
      </c>
      <c r="B62">
        <f>_xlfn.T.DIST(A62, 'T-Test'!B9, FALSE)</f>
        <v>5.6941349953155466E-2</v>
      </c>
    </row>
    <row r="63" spans="1:2" x14ac:dyDescent="0.2">
      <c r="A63">
        <f t="shared" si="0"/>
        <v>2.1000000000000032</v>
      </c>
      <c r="B63">
        <f>_xlfn.T.DIST(A63,  'T-Test'!B9, FALSE)</f>
        <v>4.7314006226083165E-2</v>
      </c>
    </row>
    <row r="64" spans="1:2" x14ac:dyDescent="0.2">
      <c r="A64">
        <f t="shared" si="0"/>
        <v>2.2000000000000033</v>
      </c>
      <c r="B64">
        <f>_xlfn.T.DIST(A64,  'T-Test'!B9, FALSE)</f>
        <v>3.905544061233706E-2</v>
      </c>
    </row>
    <row r="65" spans="1:2" x14ac:dyDescent="0.2">
      <c r="A65">
        <f t="shared" si="0"/>
        <v>2.3000000000000034</v>
      </c>
      <c r="B65">
        <f>_xlfn.T.DIST(A65,  'T-Test'!B9, FALSE)</f>
        <v>3.2034989098410654E-2</v>
      </c>
    </row>
    <row r="66" spans="1:2" x14ac:dyDescent="0.2">
      <c r="A66">
        <f t="shared" si="0"/>
        <v>2.4000000000000035</v>
      </c>
      <c r="B66">
        <f>_xlfn.T.DIST(A66,  'T-Test'!B9, FALSE)</f>
        <v>2.6118025442987858E-2</v>
      </c>
    </row>
    <row r="67" spans="1:2" x14ac:dyDescent="0.2">
      <c r="A67">
        <f t="shared" si="0"/>
        <v>2.5000000000000036</v>
      </c>
      <c r="B67">
        <f>_xlfn.T.DIST(A67,  'T-Test'!B9, FALSE)</f>
        <v>2.1171422415414465E-2</v>
      </c>
    </row>
    <row r="68" spans="1:2" x14ac:dyDescent="0.2">
      <c r="A68">
        <f t="shared" ref="A68:A70" si="1">A67 +0.1</f>
        <v>2.6000000000000036</v>
      </c>
      <c r="B68">
        <f>_xlfn.T.DIST(A68, 'T-Test'!B9, FALSE)</f>
        <v>1.7067668747563408E-2</v>
      </c>
    </row>
    <row r="69" spans="1:2" x14ac:dyDescent="0.2">
      <c r="A69">
        <f t="shared" si="1"/>
        <v>2.7000000000000037</v>
      </c>
      <c r="B69">
        <f>_xlfn.T.DIST(A69,  'T-Test'!B9, FALSE)</f>
        <v>1.3687758504011629E-2</v>
      </c>
    </row>
    <row r="70" spans="1:2" x14ac:dyDescent="0.2">
      <c r="A70">
        <f t="shared" si="1"/>
        <v>2.8000000000000038</v>
      </c>
      <c r="B70">
        <f>_xlfn.T.DIST(A70,  'T-Test'!B9, FALSE)</f>
        <v>1.0923015109172651E-2</v>
      </c>
    </row>
    <row r="71" spans="1:2" x14ac:dyDescent="0.2">
      <c r="A71">
        <f>A70 +0.1</f>
        <v>2.9000000000000039</v>
      </c>
      <c r="B71">
        <f>_xlfn.T.DIST(A71,  'T-Test'!B9, FALSE)</f>
        <v>8.6760337804660682E-3</v>
      </c>
    </row>
    <row r="72" spans="1:2" x14ac:dyDescent="0.2">
      <c r="A72">
        <f t="shared" ref="A72:A78" si="2">A71 +0.1</f>
        <v>3.000000000000004</v>
      </c>
      <c r="B72">
        <f>_xlfn.T.DIST(A72,  'T-Test'!B9, FALSE)</f>
        <v>6.8609287304040867E-3</v>
      </c>
    </row>
    <row r="73" spans="1:2" x14ac:dyDescent="0.2">
      <c r="A73">
        <f t="shared" si="2"/>
        <v>3.1000000000000041</v>
      </c>
      <c r="B73">
        <f>_xlfn.T.DIST(A73,  'T-Test'!B9, FALSE)</f>
        <v>5.4030605296444536E-3</v>
      </c>
    </row>
    <row r="74" spans="1:2" x14ac:dyDescent="0.2">
      <c r="A74">
        <f t="shared" si="2"/>
        <v>3.2000000000000042</v>
      </c>
      <c r="B74">
        <f>_xlfn.T.DIST(A74,  'T-Test'!B9, FALSE)</f>
        <v>4.2383993723684186E-3</v>
      </c>
    </row>
    <row r="75" spans="1:2" x14ac:dyDescent="0.2">
      <c r="A75">
        <f t="shared" si="2"/>
        <v>3.3000000000000043</v>
      </c>
      <c r="B75">
        <f>_xlfn.T.DIST(A75,  'T-Test'!B9, FALSE)</f>
        <v>3.3126557966297867E-3</v>
      </c>
    </row>
    <row r="76" spans="1:2" x14ac:dyDescent="0.2">
      <c r="A76">
        <f t="shared" si="2"/>
        <v>3.4000000000000044</v>
      </c>
      <c r="B76">
        <f>_xlfn.T.DIST(A76,  'T-Test'!B9, FALSE)</f>
        <v>2.5802849089623789E-3</v>
      </c>
    </row>
    <row r="77" spans="1:2" x14ac:dyDescent="0.2">
      <c r="A77">
        <f t="shared" si="2"/>
        <v>3.5000000000000044</v>
      </c>
      <c r="B77">
        <f>_xlfn.T.DIST(A77,  'T-Test'!B9, FALSE)</f>
        <v>2.0034456439922041E-3</v>
      </c>
    </row>
    <row r="78" spans="1:2" x14ac:dyDescent="0.2">
      <c r="A78">
        <f t="shared" si="2"/>
        <v>3.6000000000000045</v>
      </c>
      <c r="B78">
        <f>_xlfn.T.DIST(A78,  'T-Test'!B9, FALSE)</f>
        <v>1.550974524716336E-3</v>
      </c>
    </row>
    <row r="79" spans="1:2" x14ac:dyDescent="0.2">
      <c r="A79">
        <f>A78 +0.1</f>
        <v>3.7000000000000046</v>
      </c>
      <c r="B79">
        <f>_xlfn.T.DIST(A79,  'T-Test'!B9, FALSE)</f>
        <v>1.1974145614947831E-3</v>
      </c>
    </row>
    <row r="80" spans="1:2" x14ac:dyDescent="0.2">
      <c r="A80">
        <f t="shared" ref="A80" si="3">A79 +0.1</f>
        <v>3.8000000000000047</v>
      </c>
      <c r="B80">
        <f>_xlfn.T.DIST(A80,  'T-Test'!B9, FALSE)</f>
        <v>9.2212460099970191E-4</v>
      </c>
    </row>
    <row r="81" spans="1:2" x14ac:dyDescent="0.2">
      <c r="A81">
        <f>A80 +0.1</f>
        <v>3.9000000000000048</v>
      </c>
      <c r="B81">
        <f>_xlfn.T.DIST(A81,  'T-Test'!B9, FALSE)</f>
        <v>7.0848251031950201E-4</v>
      </c>
    </row>
    <row r="82" spans="1:2" x14ac:dyDescent="0.2">
      <c r="A82">
        <f>A81 +0.1</f>
        <v>4.0000000000000044</v>
      </c>
      <c r="B82">
        <f>_xlfn.T.DIST(A82,  'T-Test'!B9, FALSE)</f>
        <v>5.4318672875064628E-4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breast_cancer_experiment_result</vt:lpstr>
      <vt:lpstr>T-Test</vt:lpstr>
      <vt:lpstr>Graphs</vt:lpstr>
      <vt:lpstr>Accuracy Analysis</vt:lpstr>
      <vt:lpstr>Summary Statistics</vt:lpstr>
      <vt:lpstr>T-Dist Graph Making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Maryam Elhamidi</cp:lastModifiedBy>
  <dcterms:created xsi:type="dcterms:W3CDTF">2025-04-06T23:25:58Z</dcterms:created>
  <dcterms:modified xsi:type="dcterms:W3CDTF">2025-04-10T02:20:53Z</dcterms:modified>
</cp:coreProperties>
</file>